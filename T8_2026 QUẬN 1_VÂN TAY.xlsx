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ẤM VÂN TAY" sheetId="1" r:id="rId5"/>
    <sheet state="visible" name="TỔNG HỢP" sheetId="2" r:id="rId6"/>
  </sheets>
  <definedNames>
    <definedName hidden="1" localSheetId="0" name="_xlnm._FilterDatabase">'CHẤM VÂN TAY'!$A$1:$P$645</definedName>
  </definedNames>
  <calcPr/>
</workbook>
</file>

<file path=xl/sharedStrings.xml><?xml version="1.0" encoding="utf-8"?>
<sst xmlns="http://schemas.openxmlformats.org/spreadsheetml/2006/main" count="1691" uniqueCount="444">
  <si>
    <t>T8/2026 THỐNG KÊ CHẤM CÔNG NHÂN SỰ QUẬN 1</t>
  </si>
  <si>
    <t>MÃ NV</t>
  </si>
  <si>
    <t>HỌ TÊN</t>
  </si>
  <si>
    <t>Phong ban</t>
  </si>
  <si>
    <t>TỔNG</t>
  </si>
  <si>
    <t>NGÀY</t>
  </si>
  <si>
    <t>GIỜ BẤM TAY</t>
  </si>
  <si>
    <t>GIỜ VÀO</t>
  </si>
  <si>
    <t>GIỜ RA</t>
  </si>
  <si>
    <t>ĐI TRỄ</t>
  </si>
  <si>
    <t>VỀ SỚM</t>
  </si>
  <si>
    <t>CHẤM CÔNG</t>
  </si>
  <si>
    <t>STT</t>
  </si>
  <si>
    <t>TĂNG CA</t>
  </si>
  <si>
    <t>Ten</t>
  </si>
  <si>
    <t>PHÉP NĂM</t>
  </si>
  <si>
    <t>PHỤ CẤP CƠM NGÀY CHỦ NHẬT</t>
  </si>
  <si>
    <t xml:space="preserve">PHÉP NĂM </t>
  </si>
  <si>
    <t>GHI CHÚ</t>
  </si>
  <si>
    <t>SỐ NGÀY NHẬN PHỤ CẤP CƠM CHỦ NHẬT</t>
  </si>
  <si>
    <t>Check: Duyên, má 9
10/7 cúp điện</t>
  </si>
  <si>
    <t>BUI THI MY LINH</t>
  </si>
  <si>
    <t>CAO THI BICH KHUONG</t>
  </si>
  <si>
    <t>BAC SI</t>
  </si>
  <si>
    <t>08:09 19:26</t>
  </si>
  <si>
    <t>Sử dụng 8 ca phép năm</t>
  </si>
  <si>
    <t>PHAN THI UYEN THUY</t>
  </si>
  <si>
    <t>NGUYEN MINH HANG</t>
  </si>
  <si>
    <t>Q7</t>
  </si>
  <si>
    <t>07:57 07:57 18:01 18:01 18:01</t>
  </si>
  <si>
    <t>DO PHU DUC</t>
  </si>
  <si>
    <t>TRAN DUC TOAN</t>
  </si>
  <si>
    <t>13:20 13:20 19:30 19:30</t>
  </si>
  <si>
    <t>13:27 13:27 19:31 19:31</t>
  </si>
  <si>
    <t>NGUYEN QUOC TUAN</t>
  </si>
  <si>
    <t>07:58 07:58 19:30</t>
  </si>
  <si>
    <t>13:18 13:18 19:31 19:31</t>
  </si>
  <si>
    <t>NGUYEN TRAN THANH TH</t>
  </si>
  <si>
    <t>07:55 19:31</t>
  </si>
  <si>
    <t>07:55 07:55 18:00 18:00</t>
  </si>
  <si>
    <t>NGO HOANG DUY</t>
  </si>
  <si>
    <t>IT</t>
  </si>
  <si>
    <t>13:34 19:32 19:32</t>
  </si>
  <si>
    <t>13:21 13:21 19:31 19:31</t>
  </si>
  <si>
    <t>NGUYEN NGA UYEN CHI</t>
  </si>
  <si>
    <t>LE TAN</t>
  </si>
  <si>
    <t>12:23 12:23 19:30 19:30</t>
  </si>
  <si>
    <t>07:54 12:08</t>
  </si>
  <si>
    <t>07:55 07:55 18:01 18:01</t>
  </si>
  <si>
    <t>HO HOANG HAI</t>
  </si>
  <si>
    <t>13:25 13:25 19:32 19:32</t>
  </si>
  <si>
    <t>13:31 13:31 19:30 19:30</t>
  </si>
  <si>
    <t>07:52 19:33</t>
  </si>
  <si>
    <t>13:12 13:12 19:30 19:30</t>
  </si>
  <si>
    <t>LE NGUYEN TRAM ANH</t>
  </si>
  <si>
    <t>07:52 19:31</t>
  </si>
  <si>
    <t>07:57 07:57 12:00 12:00</t>
  </si>
  <si>
    <t>13:21 13:21 19:32 19:32</t>
  </si>
  <si>
    <t>13:23 13:23 19:30 19:30</t>
  </si>
  <si>
    <t>08:01 19:30</t>
  </si>
  <si>
    <t>Q1</t>
  </si>
  <si>
    <t>NGUYEN THI MY NUONG</t>
  </si>
  <si>
    <t>13:27 13:27 19:30 19:30</t>
  </si>
  <si>
    <t>07:55 07:55 19:31 19:31</t>
  </si>
  <si>
    <t>07:56 07:56 18:00 18:00</t>
  </si>
  <si>
    <t>13:34 19:30 19:30</t>
  </si>
  <si>
    <t>NGUYEN THI QUYNH HUO</t>
  </si>
  <si>
    <t>PHU TA</t>
  </si>
  <si>
    <t>08:22 19:30</t>
  </si>
  <si>
    <t>07:53 18:12</t>
  </si>
  <si>
    <t>07:58 19:30</t>
  </si>
  <si>
    <t>07:56 19:30</t>
  </si>
  <si>
    <t>TRAN MINH TAN</t>
  </si>
  <si>
    <t>08:00 19:30</t>
  </si>
  <si>
    <t>08:05 19:31</t>
  </si>
  <si>
    <t>07:55 18:00</t>
  </si>
  <si>
    <t>PHAN MINH TRUNG</t>
  </si>
  <si>
    <t>08:05 19:30</t>
  </si>
  <si>
    <t>08:07 19:30</t>
  </si>
  <si>
    <t>07:59 19:30</t>
  </si>
  <si>
    <t>HO MINH ANH</t>
  </si>
  <si>
    <t>08:05 18:01</t>
  </si>
  <si>
    <t>08:00 19:36</t>
  </si>
  <si>
    <t>07:55 19:30</t>
  </si>
  <si>
    <t>08:04 19:30</t>
  </si>
  <si>
    <t>TRAN NGOC THAO VY</t>
  </si>
  <si>
    <t>07:33 19:30</t>
  </si>
  <si>
    <t>07:41 19:30</t>
  </si>
  <si>
    <t>07:51 12:01</t>
  </si>
  <si>
    <t>07:56 19:33</t>
  </si>
  <si>
    <t>DUONG HUYNH MAI</t>
  </si>
  <si>
    <t>08:04 19:31</t>
  </si>
  <si>
    <t>TRUONG THI TOC</t>
  </si>
  <si>
    <t>TAP VU</t>
  </si>
  <si>
    <t>08:08 19:31</t>
  </si>
  <si>
    <t>07:56 18:00</t>
  </si>
  <si>
    <t>HUYNH PHI LONG</t>
  </si>
  <si>
    <t>VO TRUNG</t>
  </si>
  <si>
    <t>07:51 19:31</t>
  </si>
  <si>
    <t>07:45 19:30</t>
  </si>
  <si>
    <t>07:45 18:12</t>
  </si>
  <si>
    <t>07:50 19:30</t>
  </si>
  <si>
    <t>07:50 19:34</t>
  </si>
  <si>
    <t>QUANG TRONG HAU</t>
  </si>
  <si>
    <t>07:46 19:33</t>
  </si>
  <si>
    <t>07:49 19:30</t>
  </si>
  <si>
    <t>07:44 19:30</t>
  </si>
  <si>
    <t>07:49 18:00</t>
  </si>
  <si>
    <t>07:42 19:29</t>
  </si>
  <si>
    <t>07:52 19:30</t>
  </si>
  <si>
    <t>07:47 18:01</t>
  </si>
  <si>
    <t>07:50 19:35</t>
  </si>
  <si>
    <t>18/8 nghỉ 3 ca phép</t>
  </si>
  <si>
    <t>07:49 19:31</t>
  </si>
  <si>
    <t>07:54 19:30</t>
  </si>
  <si>
    <t>07:50 07:50 19:33</t>
  </si>
  <si>
    <t>07:51 19:30</t>
  </si>
  <si>
    <t>07:54 18:00</t>
  </si>
  <si>
    <t>07:43 19:30</t>
  </si>
  <si>
    <t>07:57 17:31</t>
  </si>
  <si>
    <t>07:53 18:13</t>
  </si>
  <si>
    <t>07:51 17:37</t>
  </si>
  <si>
    <t>08:01 19:31</t>
  </si>
  <si>
    <t>07:59 17:32</t>
  </si>
  <si>
    <t>07:51 07:51 19:31</t>
  </si>
  <si>
    <t>07:57 17:34</t>
  </si>
  <si>
    <t>07:57 14:09</t>
  </si>
  <si>
    <t>07:55 19:32</t>
  </si>
  <si>
    <t>ĐXN</t>
  </si>
  <si>
    <t>07:53 19:31</t>
  </si>
  <si>
    <t>07:59 19:31</t>
  </si>
  <si>
    <t>07:54 12:00</t>
  </si>
  <si>
    <t>07:56 19:31</t>
  </si>
  <si>
    <t>08:03 17:32</t>
  </si>
  <si>
    <t>07:57 19:30</t>
  </si>
  <si>
    <t>07:51 17:31</t>
  </si>
  <si>
    <t>07:45 19:31</t>
  </si>
  <si>
    <t>07:46 19:30</t>
  </si>
  <si>
    <t>07:45 19:32</t>
  </si>
  <si>
    <t>07:53 19:30</t>
  </si>
  <si>
    <t>07:49 11:56 12:00</t>
  </si>
  <si>
    <t>07:47 19:29</t>
  </si>
  <si>
    <t>07:50 19:36</t>
  </si>
  <si>
    <t>07:48 12:10</t>
  </si>
  <si>
    <t>check công MA có bị trừ 14/8 tổng 3 ca ko</t>
  </si>
  <si>
    <t>20/8 nghỉ 2 ca phép</t>
  </si>
  <si>
    <t>07:51 12:00</t>
  </si>
  <si>
    <t>đxn</t>
  </si>
  <si>
    <t>07:38 19:30</t>
  </si>
  <si>
    <t>90p tăng ca tháng 7 bổ sung</t>
  </si>
  <si>
    <t>07:47 18:00</t>
  </si>
  <si>
    <t>13:16 19:30</t>
  </si>
  <si>
    <t>08:02 18:12</t>
  </si>
  <si>
    <t>07:36 19:31</t>
  </si>
  <si>
    <t>07:35 17:35</t>
  </si>
  <si>
    <t>07:54 19:31</t>
  </si>
  <si>
    <t>07:47 17:33</t>
  </si>
  <si>
    <t>13:18 19:32</t>
  </si>
  <si>
    <t>07:52 19:35</t>
  </si>
  <si>
    <t>07:28 19:31</t>
  </si>
  <si>
    <t>08:02 18:01 18:01</t>
  </si>
  <si>
    <t>13:14 19:35</t>
  </si>
  <si>
    <t>08:00 19:31</t>
  </si>
  <si>
    <t>13:38 19:33</t>
  </si>
  <si>
    <t>11:49 19:30</t>
  </si>
  <si>
    <t>13:25 19:30</t>
  </si>
  <si>
    <t>28-29/8 nghỉ 6 ca phép</t>
  </si>
  <si>
    <t>07:26 19:33</t>
  </si>
  <si>
    <t>13:49 19:30</t>
  </si>
  <si>
    <t>07:48 18:00</t>
  </si>
  <si>
    <t>13:23 19:31</t>
  </si>
  <si>
    <t>07:48 19:30</t>
  </si>
  <si>
    <t>07:44 19:32</t>
  </si>
  <si>
    <t>07:49 19:34</t>
  </si>
  <si>
    <t>07:51 12:49</t>
  </si>
  <si>
    <t>07:51 17:34</t>
  </si>
  <si>
    <t>07:58 17:31</t>
  </si>
  <si>
    <t>07:49 18:08 18:09</t>
  </si>
  <si>
    <t>07:50 19:40 19:40</t>
  </si>
  <si>
    <t>07:41 07:41 19:32</t>
  </si>
  <si>
    <t>07:54 19:32</t>
  </si>
  <si>
    <t>07:50 12:44</t>
  </si>
  <si>
    <t>07:48 19:31</t>
  </si>
  <si>
    <t>24-26/8 nghỉ 5 ca phép</t>
  </si>
  <si>
    <t>13:08 19:31 19:31</t>
  </si>
  <si>
    <t>07:56 07:56 19:30</t>
  </si>
  <si>
    <t>07:57 08:10 19:30</t>
  </si>
  <si>
    <t>07:51 19:32</t>
  </si>
  <si>
    <t>LUONG THUY THUY OANH</t>
  </si>
  <si>
    <t>07:38 18:18</t>
  </si>
  <si>
    <t>07:42 19:30</t>
  </si>
  <si>
    <t>07:46 19:31</t>
  </si>
  <si>
    <t>07:38 17:33</t>
  </si>
  <si>
    <t>07:48 17:50</t>
  </si>
  <si>
    <t>07:42 18:03</t>
  </si>
  <si>
    <t>07:40 17:39</t>
  </si>
  <si>
    <t>07:50 17:41</t>
  </si>
  <si>
    <t>07:43 19:31</t>
  </si>
  <si>
    <t>07:41 19:31</t>
  </si>
  <si>
    <t>07:45 19:35</t>
  </si>
  <si>
    <t>07:50 19:32</t>
  </si>
  <si>
    <t>07:48 17:33</t>
  </si>
  <si>
    <t>07:47 19:31</t>
  </si>
  <si>
    <t>07:57 17:38</t>
  </si>
  <si>
    <t>07:38 17:32</t>
  </si>
  <si>
    <t>07:39 19:30</t>
  </si>
  <si>
    <t>07:41 17:45</t>
  </si>
  <si>
    <t>HCNS - KT</t>
  </si>
  <si>
    <t>17:59 18:02</t>
  </si>
  <si>
    <t>Q3</t>
  </si>
  <si>
    <t>07:58 17:43</t>
  </si>
  <si>
    <t>07:59 17:43</t>
  </si>
  <si>
    <t>07:57 17:39</t>
  </si>
  <si>
    <t>07:57 17:45</t>
  </si>
  <si>
    <t>07:59 17:41</t>
  </si>
  <si>
    <t>08:00 17:43</t>
  </si>
  <si>
    <t>07:56 19:28</t>
  </si>
  <si>
    <t>07:50 07:51 18:00</t>
  </si>
  <si>
    <t>07:55 19:34</t>
  </si>
  <si>
    <t>8/8  nghỉ 3 ca phép</t>
  </si>
  <si>
    <t>07:52 19:24</t>
  </si>
  <si>
    <t>07:43 18:02</t>
  </si>
  <si>
    <t>08:08 19:30 19:31</t>
  </si>
  <si>
    <t>07:57 19:28</t>
  </si>
  <si>
    <t>07:58 19:28</t>
  </si>
  <si>
    <t>07:48 19:25</t>
  </si>
  <si>
    <t>08:02 19:26 19:30</t>
  </si>
  <si>
    <t>07:59 19:27</t>
  </si>
  <si>
    <t>07:57 18:00</t>
  </si>
  <si>
    <t>07:57 19:31</t>
  </si>
  <si>
    <t>07:55 17:36</t>
  </si>
  <si>
    <t>07:59 19:32</t>
  </si>
  <si>
    <t>07:52 17:49</t>
  </si>
  <si>
    <t>07:46 17:31</t>
  </si>
  <si>
    <t>08:01 17:30</t>
  </si>
  <si>
    <t>07:53 19:40</t>
  </si>
  <si>
    <t>07:55 19:31 19:31</t>
  </si>
  <si>
    <t>07:50 17:30</t>
  </si>
  <si>
    <t>21/8 nghỉ 2 ca phép</t>
  </si>
  <si>
    <t>07:46 17:30</t>
  </si>
  <si>
    <t>07:47 19:32</t>
  </si>
  <si>
    <t>07:47 17:31</t>
  </si>
  <si>
    <t>07:52 17:34</t>
  </si>
  <si>
    <t>13:18 19:30</t>
  </si>
  <si>
    <t>10:42 19:26</t>
  </si>
  <si>
    <t>12:53 19:20</t>
  </si>
  <si>
    <t>12:13 19:19</t>
  </si>
  <si>
    <t>12:47 19:19</t>
  </si>
  <si>
    <t>11:31 19:25</t>
  </si>
  <si>
    <t>07:40 11:49</t>
  </si>
  <si>
    <t>12:51 19:17</t>
  </si>
  <si>
    <t>12:41 19:27</t>
  </si>
  <si>
    <t>12:06 19:22</t>
  </si>
  <si>
    <t>12:52 19:30</t>
  </si>
  <si>
    <t>12:50 19:24</t>
  </si>
  <si>
    <t>11:44 19:30</t>
  </si>
  <si>
    <t>12:51 19:24</t>
  </si>
  <si>
    <t>12:02 19:23</t>
  </si>
  <si>
    <t>12:56 19:28 19:29</t>
  </si>
  <si>
    <t>07:51 17:29</t>
  </si>
  <si>
    <t>13:16 19:31</t>
  </si>
  <si>
    <t>07:52 17:28</t>
  </si>
  <si>
    <t>13:21 19:30</t>
  </si>
  <si>
    <t>07:56 17:32</t>
  </si>
  <si>
    <t>13:20 19:30</t>
  </si>
  <si>
    <t>13:08 13:08 19:31</t>
  </si>
  <si>
    <t>07:58 12:00</t>
  </si>
  <si>
    <t>07:54 17:29</t>
  </si>
  <si>
    <t>07:52 17:32</t>
  </si>
  <si>
    <t>07:42 17:36</t>
  </si>
  <si>
    <t>07:38 19:31</t>
  </si>
  <si>
    <t>07:45 17:32</t>
  </si>
  <si>
    <t>07:39 19:32</t>
  </si>
  <si>
    <t>07:38 17:28</t>
  </si>
  <si>
    <t>07:33 17:33</t>
  </si>
  <si>
    <t>07:35 19:30</t>
  </si>
  <si>
    <t>07:27 19:17</t>
  </si>
  <si>
    <t>07:24 19:30</t>
  </si>
  <si>
    <t>07:35 18:46</t>
  </si>
  <si>
    <t>13:32 19:30</t>
  </si>
  <si>
    <t>07:54 07:54 19:30</t>
  </si>
  <si>
    <t>07:43 19:32</t>
  </si>
  <si>
    <t>07:33 17:30</t>
  </si>
  <si>
    <t>07:53 17:30</t>
  </si>
  <si>
    <t>13:34 19:30</t>
  </si>
  <si>
    <t>07:58 15:06</t>
  </si>
  <si>
    <t>13:16 19:26</t>
  </si>
  <si>
    <t>13:09 19:21</t>
  </si>
  <si>
    <t>13:12 19:22</t>
  </si>
  <si>
    <t>13:15 19:22</t>
  </si>
  <si>
    <t>07:56 11:54</t>
  </si>
  <si>
    <t>13:08 19:16</t>
  </si>
  <si>
    <t>13:09 19:30</t>
  </si>
  <si>
    <t>13:11 19:24</t>
  </si>
  <si>
    <t>13:04 19:30</t>
  </si>
  <si>
    <t>13:16 19:25</t>
  </si>
  <si>
    <t>13:08 19:30</t>
  </si>
  <si>
    <t>13:12 19:25</t>
  </si>
  <si>
    <t>13:08 19:23</t>
  </si>
  <si>
    <t>13:00 19:30</t>
  </si>
  <si>
    <t>07:53 19:30 19:30</t>
  </si>
  <si>
    <t>1/8 nghỉ 1 ca phép</t>
  </si>
  <si>
    <t>07:45 18:00 18:00</t>
  </si>
  <si>
    <t>07:52 19:30 19:30</t>
  </si>
  <si>
    <t>07:26 19:30</t>
  </si>
  <si>
    <t>07:49 17:31 17:31</t>
  </si>
  <si>
    <t>07:46 07:46 18:00</t>
  </si>
  <si>
    <t>07:51 19:31 19:31</t>
  </si>
  <si>
    <t>07:55 19:30 19:30</t>
  </si>
  <si>
    <t>07:47 19:30</t>
  </si>
  <si>
    <t>23/8 nghỉ 1 ca phép</t>
  </si>
  <si>
    <t>07:48 19:31 19:31</t>
  </si>
  <si>
    <t>07:43 07:43 19:30</t>
  </si>
  <si>
    <t>07:37 19:30</t>
  </si>
  <si>
    <t>07:41 18:00</t>
  </si>
  <si>
    <t>07:59 07:59 19:31</t>
  </si>
  <si>
    <t>08:05 08:05 19:31</t>
  </si>
  <si>
    <t>07:59 18:00</t>
  </si>
  <si>
    <t>07:58 19:31</t>
  </si>
  <si>
    <t>08:00 08:00 19:30</t>
  </si>
  <si>
    <t>08:02 12:00</t>
  </si>
  <si>
    <t>08:10 19:30</t>
  </si>
  <si>
    <t>07:33 17:35</t>
  </si>
  <si>
    <t>13:08 19:31</t>
  </si>
  <si>
    <t>07:40 19:35</t>
  </si>
  <si>
    <t>13:12 19:32</t>
  </si>
  <si>
    <t>07:35 19:31</t>
  </si>
  <si>
    <t>07:35 18:01</t>
  </si>
  <si>
    <t>07:32 17:29</t>
  </si>
  <si>
    <t>07:37 19:32</t>
  </si>
  <si>
    <t>07:34 19:31</t>
  </si>
  <si>
    <t>07:28 19:36</t>
  </si>
  <si>
    <t>07:38 12:28</t>
  </si>
  <si>
    <t>07:27 19:30</t>
  </si>
  <si>
    <t>07:42 12:36</t>
  </si>
  <si>
    <t>07:31 19:31</t>
  </si>
  <si>
    <t>22/8 nghỉ 3 ca phép</t>
  </si>
  <si>
    <t>07:20 12:01</t>
  </si>
  <si>
    <t>07:40 19:33</t>
  </si>
  <si>
    <t>07:42 17:31</t>
  </si>
  <si>
    <t>07:42 19:31</t>
  </si>
  <si>
    <t>07:37 12:00</t>
  </si>
  <si>
    <t>07:17 19:31</t>
  </si>
  <si>
    <t>07:25 07:43 19:31</t>
  </si>
  <si>
    <t>07:18 19:31</t>
  </si>
  <si>
    <t>08:06 19:30</t>
  </si>
  <si>
    <t>07:59 18:01</t>
  </si>
  <si>
    <t>07:58 19:29</t>
  </si>
  <si>
    <t>08:02 19:30</t>
  </si>
  <si>
    <t>08:13 18:01</t>
  </si>
  <si>
    <t>07:54 18:09</t>
  </si>
  <si>
    <t>07:57 19:40</t>
  </si>
  <si>
    <t>07:55 19:33</t>
  </si>
  <si>
    <t>07:56 19:32</t>
  </si>
  <si>
    <t>08:03 19:30</t>
  </si>
  <si>
    <t>08:02 11:57</t>
  </si>
  <si>
    <t>08:12 19:32</t>
  </si>
  <si>
    <t>08:08 19:30</t>
  </si>
  <si>
    <t>08:11 19:30</t>
  </si>
  <si>
    <t>08:11 18:00</t>
  </si>
  <si>
    <t>07:55 18:11 18:12</t>
  </si>
  <si>
    <t>07:45 07:45 19:30 19:30</t>
  </si>
  <si>
    <t>07:52 19:32</t>
  </si>
  <si>
    <t>07:44 18:00</t>
  </si>
  <si>
    <t>07:37 19:30 19:30</t>
  </si>
  <si>
    <t>07:44 19:39</t>
  </si>
  <si>
    <t>13:14 19:31</t>
  </si>
  <si>
    <t>07:50 19:31</t>
  </si>
  <si>
    <t>07:50 19:31 19:31</t>
  </si>
  <si>
    <t>07:55 12:00 12:00</t>
  </si>
  <si>
    <t>24-25/8 nghỉ 6 ca phép</t>
  </si>
  <si>
    <t>07:45 17:31</t>
  </si>
  <si>
    <t>07:58 18:00 18:00</t>
  </si>
  <si>
    <t>07:47 19:30 19:31</t>
  </si>
  <si>
    <t>07:45 18:00</t>
  </si>
  <si>
    <t>07:40 19:31</t>
  </si>
  <si>
    <t>07:34 19:33</t>
  </si>
  <si>
    <t>07:44 19:31</t>
  </si>
  <si>
    <t>07:42 19:30 19:30</t>
  </si>
  <si>
    <t>07:50 18:01</t>
  </si>
  <si>
    <t>07:47 19:30 19:30</t>
  </si>
  <si>
    <t>06:59 19:30 19:30</t>
  </si>
  <si>
    <t>07:52 19:31 19:31</t>
  </si>
  <si>
    <t>07:42 07:44 18:00 18:00</t>
  </si>
  <si>
    <t>07:45 19:36 19:36</t>
  </si>
  <si>
    <t>07:47 07:48 19:31 19:31</t>
  </si>
  <si>
    <t>07:46 07:46 19:30</t>
  </si>
  <si>
    <t>07:45 19:31 19:31</t>
  </si>
  <si>
    <t>07:42 07:42 19:31</t>
  </si>
  <si>
    <t>07:46 07:55 12:01 12:01</t>
  </si>
  <si>
    <t xml:space="preserve">30/8 nghỉ 1 phép </t>
  </si>
  <si>
    <t>07:36 07:36 19:34 19:34</t>
  </si>
  <si>
    <t>07:48 07:48 19:30</t>
  </si>
  <si>
    <t>07:34 07:34 19:30</t>
  </si>
  <si>
    <t>07:42 07:42 19:30 19:30</t>
  </si>
  <si>
    <t>07:39 07:39 19:30</t>
  </si>
  <si>
    <t>06:00 17:55</t>
  </si>
  <si>
    <t>05:55 10:58</t>
  </si>
  <si>
    <t>05:53 17:56</t>
  </si>
  <si>
    <t>05:50 17:54</t>
  </si>
  <si>
    <t>06:00 06:00 17:55</t>
  </si>
  <si>
    <t>05:57 17:56</t>
  </si>
  <si>
    <t>05:51 17:56</t>
  </si>
  <si>
    <t>05:53 17:49</t>
  </si>
  <si>
    <t>05:58 10:54</t>
  </si>
  <si>
    <t>05:56 17:53 17:53</t>
  </si>
  <si>
    <t>05:55 17:21</t>
  </si>
  <si>
    <t>05:49 17:57</t>
  </si>
  <si>
    <t>05:53 17:55</t>
  </si>
  <si>
    <t>05:54 10:58</t>
  </si>
  <si>
    <t>05:51 17:58</t>
  </si>
  <si>
    <t>06:00 17:53</t>
  </si>
  <si>
    <t>05:54 17:53</t>
  </si>
  <si>
    <t>05:50 17:56 17:56</t>
  </si>
  <si>
    <t>05:50 17:56</t>
  </si>
  <si>
    <t>05:51 17:55</t>
  </si>
  <si>
    <t>05:45 10:55</t>
  </si>
  <si>
    <t>05:47 18:00</t>
  </si>
  <si>
    <t>05:47 17:54</t>
  </si>
  <si>
    <t>05:52 17:56</t>
  </si>
  <si>
    <t>05:47 17:55</t>
  </si>
  <si>
    <t>05:55 17:53</t>
  </si>
  <si>
    <t>05:59 10:54</t>
  </si>
  <si>
    <t>05:55 17:54</t>
  </si>
  <si>
    <t>VO THAI QUYNH LOAN</t>
  </si>
  <si>
    <t>07:44 13:55</t>
  </si>
  <si>
    <t>07:34 17:36</t>
  </si>
  <si>
    <t>07:49 17:37</t>
  </si>
  <si>
    <t>08:56 17:52</t>
  </si>
  <si>
    <t>07:51 12:52</t>
  </si>
  <si>
    <t>07:51 19:05</t>
  </si>
  <si>
    <t>07:44 17:52</t>
  </si>
  <si>
    <t>07:45 16:14</t>
  </si>
  <si>
    <t>07:53 17:26</t>
  </si>
  <si>
    <t>07:54 17:21</t>
  </si>
  <si>
    <t>07:59 17:20</t>
  </si>
  <si>
    <t>07:55 17:21</t>
  </si>
  <si>
    <t>08:08 17:28</t>
  </si>
  <si>
    <t>08:06 17:26</t>
  </si>
  <si>
    <t>11:17 17:01</t>
  </si>
  <si>
    <t>13:17 17:31</t>
  </si>
  <si>
    <t>08:01 17:37</t>
  </si>
  <si>
    <t>07:59 17:18</t>
  </si>
  <si>
    <t>07:56 17:46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</si>
</sst>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dd/MM/yyyy"/>
    <numFmt numFmtId="166" formatCode="hh:mm"/>
  </numFmts>
  <fonts count="17">
    <font>
      <sz val="10.0"/>
      <color rgb="FF000000"/>
      <name val="Arial"/>
      <scheme val="minor"/>
    </font>
    <font>
      <b/>
      <sz val="12.0"/>
      <color rgb="FFFF0000"/>
      <name val="Times New Roman"/>
    </font>
    <font>
      <b/>
      <color theme="1"/>
      <name val="Times New Roman"/>
    </font>
    <font>
      <color theme="1"/>
      <name val="Arial"/>
    </font>
    <font>
      <b/>
      <sz val="14.0"/>
      <color theme="1"/>
      <name val="Times New Roman"/>
    </font>
    <font/>
    <font>
      <color theme="1"/>
      <name val="Times New Roman"/>
    </font>
    <font>
      <i/>
      <color theme="1"/>
      <name val="Times New Roman"/>
    </font>
    <font>
      <b/>
      <color rgb="FFFF0000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i/>
      <sz val="12.0"/>
      <color rgb="FFFF0000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color rgb="FFCCCCCC"/>
      <name val="Times New Roman"/>
    </font>
    <font>
      <color theme="1"/>
      <name val="Arial"/>
      <scheme val="minor"/>
    </font>
    <font>
      <b/>
      <sz val="10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BFEC"/>
        <bgColor rgb="FFFBBFEC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11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horizontal="center"/>
    </xf>
    <xf borderId="1" fillId="4" fontId="10" numFmtId="0" xfId="0" applyAlignment="1" applyBorder="1" applyFill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/>
    </xf>
    <xf borderId="1" fillId="0" fontId="3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0" fontId="3" numFmtId="0" xfId="0" applyBorder="1" applyFont="1"/>
    <xf borderId="0" fillId="0" fontId="3" numFmtId="0" xfId="0" applyFont="1"/>
    <xf borderId="1" fillId="0" fontId="13" numFmtId="0" xfId="0" applyAlignment="1" applyBorder="1" applyFont="1">
      <alignment horizontal="center" readingOrder="0" vertical="center"/>
    </xf>
    <xf borderId="1" fillId="0" fontId="13" numFmtId="165" xfId="0" applyAlignment="1" applyBorder="1" applyFont="1" applyNumberFormat="1">
      <alignment horizontal="center" readingOrder="0" vertical="center"/>
    </xf>
    <xf borderId="1" fillId="0" fontId="13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0"/>
    </xf>
    <xf borderId="1" fillId="0" fontId="13" numFmtId="166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166" xfId="0" applyAlignment="1" applyBorder="1" applyFont="1" applyNumberFormat="1">
      <alignment horizontal="center"/>
    </xf>
    <xf borderId="1" fillId="0" fontId="14" numFmtId="0" xfId="0" applyAlignment="1" applyBorder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88"/>
    <col customWidth="1" min="5" max="5" width="20.13"/>
    <col customWidth="1" min="6" max="9" width="7.63"/>
    <col customWidth="1" min="10" max="10" width="8.5"/>
    <col customWidth="1" min="11" max="12" width="8.88"/>
    <col customWidth="1" min="13" max="13" width="10.25"/>
    <col customWidth="1" min="14" max="14" width="25.5"/>
    <col customWidth="1" min="15" max="15" width="6.25"/>
    <col customWidth="1" min="16" max="16" width="7.25"/>
    <col customWidth="1" min="17" max="17" width="31.88"/>
    <col customWidth="1" min="18" max="18" width="15.0"/>
    <col customWidth="1" min="19" max="23" width="9.63"/>
  </cols>
  <sheetData>
    <row r="1" ht="57.75" customHeight="1">
      <c r="A1" s="2" t="s">
        <v>1</v>
      </c>
      <c r="B1" s="2" t="s">
        <v>2</v>
      </c>
      <c r="C1" s="4" t="s">
        <v>3</v>
      </c>
      <c r="D1" s="2" t="s">
        <v>5</v>
      </c>
      <c r="E1" s="2" t="s">
        <v>6</v>
      </c>
      <c r="F1" s="6" t="s">
        <v>7</v>
      </c>
      <c r="G1" s="9" t="s">
        <v>8</v>
      </c>
      <c r="H1" s="11" t="s">
        <v>9</v>
      </c>
      <c r="I1" s="11" t="s">
        <v>10</v>
      </c>
      <c r="J1" s="13" t="s">
        <v>11</v>
      </c>
      <c r="K1" s="15" t="s">
        <v>13</v>
      </c>
      <c r="L1" s="15" t="s">
        <v>15</v>
      </c>
      <c r="M1" s="18" t="s">
        <v>16</v>
      </c>
      <c r="N1" s="11" t="s">
        <v>18</v>
      </c>
      <c r="O1" s="20"/>
      <c r="P1" s="20"/>
      <c r="Q1" s="23" t="s">
        <v>20</v>
      </c>
      <c r="R1" s="20"/>
      <c r="S1" s="20"/>
      <c r="T1" s="20"/>
      <c r="U1" s="20"/>
      <c r="V1" s="20"/>
      <c r="W1" s="20"/>
      <c r="X1" s="20"/>
      <c r="Y1" s="20"/>
      <c r="Z1" s="20"/>
    </row>
    <row r="2">
      <c r="A2" s="26">
        <v>3.52339655E8</v>
      </c>
      <c r="B2" s="26" t="s">
        <v>22</v>
      </c>
      <c r="C2" s="26" t="s">
        <v>23</v>
      </c>
      <c r="D2" s="28">
        <v>46235.0</v>
      </c>
      <c r="E2" s="26" t="s">
        <v>24</v>
      </c>
      <c r="F2" s="30">
        <f>IFERROR(__xludf.DUMMYFUNCTION("MIN(ARRAYFORMULA(TIMEVALUE(SPLIT(E2,"" ""))))"),0.33958333333333335)</f>
        <v>0.3395833333</v>
      </c>
      <c r="G2" s="30">
        <f>IFERROR(__xludf.DUMMYFUNCTION("MAX(ARRAYFORMULA(TIMEVALUE(SPLIT(E2,"" ""))))"),0.8097222222222222)</f>
        <v>0.8097222222</v>
      </c>
      <c r="H2" s="26">
        <v>9.0</v>
      </c>
      <c r="I2" s="31"/>
      <c r="J2" s="39">
        <f t="shared" ref="J2:J86" si="1">IF(WEEKDAY(D2,2)=7,IF(AND(F2&lt;TIME(8,15,0),G2&gt;=TIME(11,55,0)),1,0)+IF(AND(F2&lt;TIME(13,45,0),G2&gt;=TIME(17,55,0)),1,0),IF(AND(F2&lt;TIME(8,15,0),G2&gt;=TIME(11,55,0)),1,0)+IF(AND(F2&lt;TIME(13,45,0),G2&gt;=TIME(17,25,0)),1,0)+IF(AND(F2&lt;TIME(15,45,0),G2&gt;=TIME(19,25,0)),1,0))</f>
        <v>3</v>
      </c>
      <c r="K2" s="40"/>
      <c r="L2" s="31"/>
      <c r="M2" s="31" t="str">
        <f t="shared" ref="M2:M108" si="2">IF(WEEKDAY(D2,2)=7,IF(J2=2,1,""),"")</f>
        <v/>
      </c>
      <c r="N2" s="26" t="s">
        <v>28</v>
      </c>
      <c r="O2" s="41"/>
      <c r="P2" s="41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42">
        <v>39655.0</v>
      </c>
      <c r="B3" s="42" t="s">
        <v>22</v>
      </c>
      <c r="C3" s="42" t="s">
        <v>23</v>
      </c>
      <c r="D3" s="43">
        <v>46236.0</v>
      </c>
      <c r="E3" s="42" t="s">
        <v>29</v>
      </c>
      <c r="F3" s="44">
        <f>IFERROR(__xludf.DUMMYFUNCTION("MIN(ARRAYFORMULA(TIMEVALUE(SPLIT(E3,"" ""))))"),0.33125)</f>
        <v>0.33125</v>
      </c>
      <c r="G3" s="44">
        <f>IFERROR(__xludf.DUMMYFUNCTION("MAX(ARRAYFORMULA(TIMEVALUE(SPLIT(E3,"" ""))))"),0.7506944444444444)</f>
        <v>0.7506944444</v>
      </c>
      <c r="H3" s="45"/>
      <c r="I3" s="45"/>
      <c r="J3" s="46">
        <f t="shared" si="1"/>
        <v>2</v>
      </c>
      <c r="K3" s="27"/>
      <c r="L3" s="38"/>
      <c r="M3" s="38">
        <f t="shared" si="2"/>
        <v>1</v>
      </c>
      <c r="N3" s="47"/>
      <c r="O3" s="48" t="str">
        <f t="shared" ref="O3:O7" si="3">CHOOSE(WEEKDAY(D3,2),"Hai","Ba","Tư","Năm","Sáu","Bảy","CN")</f>
        <v>CN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42">
        <v>39655.0</v>
      </c>
      <c r="B4" s="42" t="s">
        <v>22</v>
      </c>
      <c r="C4" s="42" t="s">
        <v>23</v>
      </c>
      <c r="D4" s="43">
        <v>46237.0</v>
      </c>
      <c r="E4" s="42" t="s">
        <v>32</v>
      </c>
      <c r="F4" s="44">
        <f>IFERROR(__xludf.DUMMYFUNCTION("MIN(ARRAYFORMULA(TIMEVALUE(SPLIT(E4,"" ""))))"),0.5555555555555556)</f>
        <v>0.5555555556</v>
      </c>
      <c r="G4" s="44">
        <f>IFERROR(__xludf.DUMMYFUNCTION("MAX(ARRAYFORMULA(TIMEVALUE(SPLIT(E4,"" ""))))"),0.8125)</f>
        <v>0.8125</v>
      </c>
      <c r="H4" s="45"/>
      <c r="I4" s="45"/>
      <c r="J4" s="46">
        <f t="shared" si="1"/>
        <v>2</v>
      </c>
      <c r="K4" s="27"/>
      <c r="L4" s="38"/>
      <c r="M4" s="38" t="str">
        <f t="shared" si="2"/>
        <v/>
      </c>
      <c r="N4" s="47"/>
      <c r="O4" s="48" t="str">
        <f t="shared" si="3"/>
        <v>Hai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42">
        <v>39655.0</v>
      </c>
      <c r="B5" s="42" t="s">
        <v>22</v>
      </c>
      <c r="C5" s="42" t="s">
        <v>23</v>
      </c>
      <c r="D5" s="43">
        <v>46239.0</v>
      </c>
      <c r="E5" s="42" t="s">
        <v>33</v>
      </c>
      <c r="F5" s="44">
        <f>IFERROR(__xludf.DUMMYFUNCTION("MIN(ARRAYFORMULA(TIMEVALUE(SPLIT(E5,"" ""))))"),0.5604166666666667)</f>
        <v>0.5604166667</v>
      </c>
      <c r="G5" s="44">
        <f>IFERROR(__xludf.DUMMYFUNCTION("MAX(ARRAYFORMULA(TIMEVALUE(SPLIT(E5,"" ""))))"),0.8131944444444444)</f>
        <v>0.8131944444</v>
      </c>
      <c r="H5" s="45"/>
      <c r="I5" s="45"/>
      <c r="J5" s="46">
        <f t="shared" si="1"/>
        <v>2</v>
      </c>
      <c r="K5" s="27"/>
      <c r="L5" s="38"/>
      <c r="M5" s="38" t="str">
        <f t="shared" si="2"/>
        <v/>
      </c>
      <c r="N5" s="47"/>
      <c r="O5" s="48" t="str">
        <f t="shared" si="3"/>
        <v>Tư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42">
        <v>39655.0</v>
      </c>
      <c r="B6" s="42" t="s">
        <v>22</v>
      </c>
      <c r="C6" s="42" t="s">
        <v>23</v>
      </c>
      <c r="D6" s="43">
        <v>46240.0</v>
      </c>
      <c r="E6" s="42" t="s">
        <v>35</v>
      </c>
      <c r="F6" s="44">
        <f>IFERROR(__xludf.DUMMYFUNCTION("MIN(ARRAYFORMULA(TIMEVALUE(SPLIT(E6,"" ""))))"),0.33194444444444443)</f>
        <v>0.3319444444</v>
      </c>
      <c r="G6" s="44">
        <f>IFERROR(__xludf.DUMMYFUNCTION("MAX(ARRAYFORMULA(TIMEVALUE(SPLIT(E6,"" ""))))"),0.8125)</f>
        <v>0.8125</v>
      </c>
      <c r="H6" s="45"/>
      <c r="I6" s="45"/>
      <c r="J6" s="46">
        <f t="shared" si="1"/>
        <v>3</v>
      </c>
      <c r="K6" s="27"/>
      <c r="L6" s="38"/>
      <c r="M6" s="38" t="str">
        <f t="shared" si="2"/>
        <v/>
      </c>
      <c r="N6" s="47"/>
      <c r="O6" s="48" t="str">
        <f t="shared" si="3"/>
        <v>Năm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42">
        <v>39655.0</v>
      </c>
      <c r="B7" s="42" t="s">
        <v>22</v>
      </c>
      <c r="C7" s="42" t="s">
        <v>23</v>
      </c>
      <c r="D7" s="43">
        <v>46241.0</v>
      </c>
      <c r="E7" s="42" t="s">
        <v>36</v>
      </c>
      <c r="F7" s="44">
        <f>IFERROR(__xludf.DUMMYFUNCTION("MIN(ARRAYFORMULA(TIMEVALUE(SPLIT(E7,"" ""))))"),0.5541666666666667)</f>
        <v>0.5541666667</v>
      </c>
      <c r="G7" s="44">
        <f>IFERROR(__xludf.DUMMYFUNCTION("MAX(ARRAYFORMULA(TIMEVALUE(SPLIT(E7,"" ""))))"),0.8131944444444444)</f>
        <v>0.8131944444</v>
      </c>
      <c r="H7" s="45"/>
      <c r="I7" s="45"/>
      <c r="J7" s="46">
        <f t="shared" si="1"/>
        <v>2</v>
      </c>
      <c r="K7" s="27"/>
      <c r="L7" s="38"/>
      <c r="M7" s="38" t="str">
        <f t="shared" si="2"/>
        <v/>
      </c>
      <c r="N7" s="47"/>
      <c r="O7" s="48" t="str">
        <f t="shared" si="3"/>
        <v>Sáu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6">
        <v>3.52339655E8</v>
      </c>
      <c r="B8" s="26" t="s">
        <v>22</v>
      </c>
      <c r="C8" s="26" t="s">
        <v>23</v>
      </c>
      <c r="D8" s="28">
        <v>46242.0</v>
      </c>
      <c r="E8" s="26" t="s">
        <v>38</v>
      </c>
      <c r="F8" s="30">
        <f>IFERROR(__xludf.DUMMYFUNCTION("MIN(ARRAYFORMULA(TIMEVALUE(SPLIT(E8,"" ""))))"),0.3298611111111111)</f>
        <v>0.3298611111</v>
      </c>
      <c r="G8" s="30">
        <f>IFERROR(__xludf.DUMMYFUNCTION("MAX(ARRAYFORMULA(TIMEVALUE(SPLIT(E8,"" ""))))"),0.8131944444444444)</f>
        <v>0.8131944444</v>
      </c>
      <c r="H8" s="31"/>
      <c r="I8" s="31"/>
      <c r="J8" s="39">
        <f t="shared" si="1"/>
        <v>3</v>
      </c>
      <c r="K8" s="40"/>
      <c r="L8" s="31"/>
      <c r="M8" s="31" t="str">
        <f t="shared" si="2"/>
        <v/>
      </c>
      <c r="N8" s="26" t="s">
        <v>28</v>
      </c>
      <c r="O8" s="41"/>
      <c r="P8" s="41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42">
        <v>39655.0</v>
      </c>
      <c r="B9" s="42" t="s">
        <v>22</v>
      </c>
      <c r="C9" s="42" t="s">
        <v>23</v>
      </c>
      <c r="D9" s="43">
        <v>46243.0</v>
      </c>
      <c r="E9" s="42" t="s">
        <v>39</v>
      </c>
      <c r="F9" s="44">
        <f>IFERROR(__xludf.DUMMYFUNCTION("MIN(ARRAYFORMULA(TIMEVALUE(SPLIT(E9,"" ""))))"),0.3298611111111111)</f>
        <v>0.3298611111</v>
      </c>
      <c r="G9" s="44">
        <f>IFERROR(__xludf.DUMMYFUNCTION("MAX(ARRAYFORMULA(TIMEVALUE(SPLIT(E9,"" ""))))"),0.75)</f>
        <v>0.75</v>
      </c>
      <c r="H9" s="45"/>
      <c r="I9" s="45"/>
      <c r="J9" s="46">
        <f t="shared" si="1"/>
        <v>2</v>
      </c>
      <c r="K9" s="27"/>
      <c r="L9" s="38"/>
      <c r="M9" s="38">
        <f t="shared" si="2"/>
        <v>1</v>
      </c>
      <c r="N9" s="47"/>
      <c r="O9" s="48" t="str">
        <f t="shared" ref="O9:O12" si="4">CHOOSE(WEEKDAY(D9,2),"Hai","Ba","Tư","Năm","Sáu","Bảy","CN")</f>
        <v>CN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42">
        <v>39655.0</v>
      </c>
      <c r="B10" s="42" t="s">
        <v>22</v>
      </c>
      <c r="C10" s="42" t="s">
        <v>23</v>
      </c>
      <c r="D10" s="43">
        <v>46244.0</v>
      </c>
      <c r="E10" s="42" t="s">
        <v>42</v>
      </c>
      <c r="F10" s="44">
        <f>IFERROR(__xludf.DUMMYFUNCTION("MIN(ARRAYFORMULA(TIMEVALUE(SPLIT(E10,"" ""))))"),0.5652777777777778)</f>
        <v>0.5652777778</v>
      </c>
      <c r="G10" s="44">
        <f>IFERROR(__xludf.DUMMYFUNCTION("MAX(ARRAYFORMULA(TIMEVALUE(SPLIT(E10,"" ""))))"),0.8138888888888889)</f>
        <v>0.8138888889</v>
      </c>
      <c r="H10" s="45"/>
      <c r="I10" s="45"/>
      <c r="J10" s="46">
        <f t="shared" si="1"/>
        <v>2</v>
      </c>
      <c r="K10" s="27"/>
      <c r="L10" s="38"/>
      <c r="M10" s="38" t="str">
        <f t="shared" si="2"/>
        <v/>
      </c>
      <c r="N10" s="47"/>
      <c r="O10" s="48" t="str">
        <f t="shared" si="4"/>
        <v>Hai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42">
        <v>39655.0</v>
      </c>
      <c r="B11" s="42" t="s">
        <v>22</v>
      </c>
      <c r="C11" s="42" t="s">
        <v>23</v>
      </c>
      <c r="D11" s="43">
        <v>46248.0</v>
      </c>
      <c r="E11" s="42" t="s">
        <v>43</v>
      </c>
      <c r="F11" s="44">
        <f>IFERROR(__xludf.DUMMYFUNCTION("MIN(ARRAYFORMULA(TIMEVALUE(SPLIT(E11,"" ""))))"),0.55625)</f>
        <v>0.55625</v>
      </c>
      <c r="G11" s="44">
        <f>IFERROR(__xludf.DUMMYFUNCTION("MAX(ARRAYFORMULA(TIMEVALUE(SPLIT(E11,"" ""))))"),0.8131944444444444)</f>
        <v>0.8131944444</v>
      </c>
      <c r="H11" s="45"/>
      <c r="I11" s="45"/>
      <c r="J11" s="46">
        <f t="shared" si="1"/>
        <v>2</v>
      </c>
      <c r="K11" s="27"/>
      <c r="L11" s="38"/>
      <c r="M11" s="38" t="str">
        <f t="shared" si="2"/>
        <v/>
      </c>
      <c r="N11" s="47"/>
      <c r="O11" s="48" t="str">
        <f t="shared" si="4"/>
        <v>Sáu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42">
        <v>39655.0</v>
      </c>
      <c r="B12" s="42" t="s">
        <v>22</v>
      </c>
      <c r="C12" s="42" t="s">
        <v>23</v>
      </c>
      <c r="D12" s="43">
        <v>46249.0</v>
      </c>
      <c r="E12" s="42" t="s">
        <v>46</v>
      </c>
      <c r="F12" s="44">
        <f>IFERROR(__xludf.DUMMYFUNCTION("MIN(ARRAYFORMULA(TIMEVALUE(SPLIT(E12,"" ""))))"),0.5159722222222223)</f>
        <v>0.5159722222</v>
      </c>
      <c r="G12" s="44">
        <f>IFERROR(__xludf.DUMMYFUNCTION("MAX(ARRAYFORMULA(TIMEVALUE(SPLIT(E12,"" ""))))"),0.8125)</f>
        <v>0.8125</v>
      </c>
      <c r="H12" s="45"/>
      <c r="I12" s="45"/>
      <c r="J12" s="46">
        <f t="shared" si="1"/>
        <v>2</v>
      </c>
      <c r="K12" s="27"/>
      <c r="L12" s="38"/>
      <c r="M12" s="38" t="str">
        <f t="shared" si="2"/>
        <v/>
      </c>
      <c r="N12" s="47"/>
      <c r="O12" s="48" t="str">
        <f t="shared" si="4"/>
        <v>Bảy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6">
        <v>3.52339655E8</v>
      </c>
      <c r="B13" s="26" t="s">
        <v>22</v>
      </c>
      <c r="C13" s="26" t="s">
        <v>23</v>
      </c>
      <c r="D13" s="28">
        <v>46249.0</v>
      </c>
      <c r="E13" s="26" t="s">
        <v>47</v>
      </c>
      <c r="F13" s="30">
        <f>IFERROR(__xludf.DUMMYFUNCTION("MIN(ARRAYFORMULA(TIMEVALUE(SPLIT(E13,"" ""))))"),0.32916666666666666)</f>
        <v>0.3291666667</v>
      </c>
      <c r="G13" s="30">
        <f>IFERROR(__xludf.DUMMYFUNCTION("MAX(ARRAYFORMULA(TIMEVALUE(SPLIT(E13,"" ""))))"),0.5055555555555555)</f>
        <v>0.5055555556</v>
      </c>
      <c r="H13" s="31"/>
      <c r="I13" s="31"/>
      <c r="J13" s="39">
        <f t="shared" si="1"/>
        <v>1</v>
      </c>
      <c r="K13" s="40"/>
      <c r="L13" s="31"/>
      <c r="M13" s="31" t="str">
        <f t="shared" si="2"/>
        <v/>
      </c>
      <c r="N13" s="26" t="s">
        <v>28</v>
      </c>
      <c r="O13" s="41"/>
      <c r="P13" s="4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42">
        <v>39655.0</v>
      </c>
      <c r="B14" s="42" t="s">
        <v>22</v>
      </c>
      <c r="C14" s="42" t="s">
        <v>23</v>
      </c>
      <c r="D14" s="43">
        <v>46250.0</v>
      </c>
      <c r="E14" s="42" t="s">
        <v>48</v>
      </c>
      <c r="F14" s="44">
        <f>IFERROR(__xludf.DUMMYFUNCTION("MIN(ARRAYFORMULA(TIMEVALUE(SPLIT(E14,"" ""))))"),0.3298611111111111)</f>
        <v>0.3298611111</v>
      </c>
      <c r="G14" s="44">
        <f>IFERROR(__xludf.DUMMYFUNCTION("MAX(ARRAYFORMULA(TIMEVALUE(SPLIT(E14,"" ""))))"),0.7506944444444444)</f>
        <v>0.7506944444</v>
      </c>
      <c r="H14" s="45"/>
      <c r="I14" s="45"/>
      <c r="J14" s="46">
        <f t="shared" si="1"/>
        <v>2</v>
      </c>
      <c r="K14" s="27"/>
      <c r="L14" s="38"/>
      <c r="M14" s="38">
        <f t="shared" si="2"/>
        <v>1</v>
      </c>
      <c r="N14" s="47"/>
      <c r="O14" s="48" t="str">
        <f t="shared" ref="O14:O16" si="5">CHOOSE(WEEKDAY(D14,2),"Hai","Ba","Tư","Năm","Sáu","Bảy","CN")</f>
        <v>CN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42">
        <v>39655.0</v>
      </c>
      <c r="B15" s="42" t="s">
        <v>22</v>
      </c>
      <c r="C15" s="42" t="s">
        <v>23</v>
      </c>
      <c r="D15" s="43">
        <v>46251.0</v>
      </c>
      <c r="E15" s="42" t="s">
        <v>50</v>
      </c>
      <c r="F15" s="44">
        <f>IFERROR(__xludf.DUMMYFUNCTION("MIN(ARRAYFORMULA(TIMEVALUE(SPLIT(E15,"" ""))))"),0.5590277777777778)</f>
        <v>0.5590277778</v>
      </c>
      <c r="G15" s="44">
        <f>IFERROR(__xludf.DUMMYFUNCTION("MAX(ARRAYFORMULA(TIMEVALUE(SPLIT(E15,"" ""))))"),0.8138888888888889)</f>
        <v>0.8138888889</v>
      </c>
      <c r="H15" s="45"/>
      <c r="I15" s="45"/>
      <c r="J15" s="46">
        <f t="shared" si="1"/>
        <v>2</v>
      </c>
      <c r="K15" s="27"/>
      <c r="L15" s="38"/>
      <c r="M15" s="38" t="str">
        <f t="shared" si="2"/>
        <v/>
      </c>
      <c r="N15" s="47"/>
      <c r="O15" s="48" t="str">
        <f t="shared" si="5"/>
        <v>Hai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42">
        <v>39655.0</v>
      </c>
      <c r="B16" s="42" t="s">
        <v>22</v>
      </c>
      <c r="C16" s="42" t="s">
        <v>23</v>
      </c>
      <c r="D16" s="43">
        <v>46253.0</v>
      </c>
      <c r="E16" s="42" t="s">
        <v>51</v>
      </c>
      <c r="F16" s="44">
        <f>IFERROR(__xludf.DUMMYFUNCTION("MIN(ARRAYFORMULA(TIMEVALUE(SPLIT(E16,"" ""))))"),0.5631944444444444)</f>
        <v>0.5631944444</v>
      </c>
      <c r="G16" s="44">
        <f>IFERROR(__xludf.DUMMYFUNCTION("MAX(ARRAYFORMULA(TIMEVALUE(SPLIT(E16,"" ""))))"),0.8125)</f>
        <v>0.8125</v>
      </c>
      <c r="H16" s="45"/>
      <c r="I16" s="45"/>
      <c r="J16" s="46">
        <f t="shared" si="1"/>
        <v>2</v>
      </c>
      <c r="K16" s="27"/>
      <c r="L16" s="38"/>
      <c r="M16" s="38" t="str">
        <f t="shared" si="2"/>
        <v/>
      </c>
      <c r="N16" s="47"/>
      <c r="O16" s="48" t="str">
        <f t="shared" si="5"/>
        <v>Tư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6">
        <v>3.52339655E8</v>
      </c>
      <c r="B17" s="26" t="s">
        <v>22</v>
      </c>
      <c r="C17" s="26" t="s">
        <v>23</v>
      </c>
      <c r="D17" s="28">
        <v>46254.0</v>
      </c>
      <c r="E17" s="26" t="s">
        <v>52</v>
      </c>
      <c r="F17" s="30">
        <f>IFERROR(__xludf.DUMMYFUNCTION("MIN(ARRAYFORMULA(TIMEVALUE(SPLIT(E17,"" ""))))"),0.3277777777777778)</f>
        <v>0.3277777778</v>
      </c>
      <c r="G17" s="30">
        <f>IFERROR(__xludf.DUMMYFUNCTION("MAX(ARRAYFORMULA(TIMEVALUE(SPLIT(E17,"" ""))))"),0.8145833333333333)</f>
        <v>0.8145833333</v>
      </c>
      <c r="H17" s="31"/>
      <c r="I17" s="31"/>
      <c r="J17" s="39">
        <f t="shared" si="1"/>
        <v>3</v>
      </c>
      <c r="K17" s="40"/>
      <c r="L17" s="31"/>
      <c r="M17" s="31" t="str">
        <f t="shared" si="2"/>
        <v/>
      </c>
      <c r="N17" s="26" t="s">
        <v>28</v>
      </c>
      <c r="O17" s="41"/>
      <c r="P17" s="4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42">
        <v>39655.0</v>
      </c>
      <c r="B18" s="42" t="s">
        <v>22</v>
      </c>
      <c r="C18" s="42" t="s">
        <v>23</v>
      </c>
      <c r="D18" s="43">
        <v>46255.0</v>
      </c>
      <c r="E18" s="42" t="s">
        <v>53</v>
      </c>
      <c r="F18" s="44">
        <f>IFERROR(__xludf.DUMMYFUNCTION("MIN(ARRAYFORMULA(TIMEVALUE(SPLIT(E18,"" ""))))"),0.55)</f>
        <v>0.55</v>
      </c>
      <c r="G18" s="44">
        <f>IFERROR(__xludf.DUMMYFUNCTION("MAX(ARRAYFORMULA(TIMEVALUE(SPLIT(E18,"" ""))))"),0.8125)</f>
        <v>0.8125</v>
      </c>
      <c r="H18" s="45"/>
      <c r="I18" s="45"/>
      <c r="J18" s="46">
        <f t="shared" si="1"/>
        <v>2</v>
      </c>
      <c r="K18" s="27"/>
      <c r="L18" s="38"/>
      <c r="M18" s="38" t="str">
        <f t="shared" si="2"/>
        <v/>
      </c>
      <c r="N18" s="47"/>
      <c r="O18" s="48" t="str">
        <f>CHOOSE(WEEKDAY(D18,2),"Hai","Ba","Tư","Năm","Sáu","Bảy","CN")</f>
        <v>Sáu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6">
        <v>3.52339655E8</v>
      </c>
      <c r="B19" s="26" t="s">
        <v>22</v>
      </c>
      <c r="C19" s="26" t="s">
        <v>23</v>
      </c>
      <c r="D19" s="28">
        <v>46256.0</v>
      </c>
      <c r="E19" s="26" t="s">
        <v>55</v>
      </c>
      <c r="F19" s="30">
        <f>IFERROR(__xludf.DUMMYFUNCTION("MIN(ARRAYFORMULA(TIMEVALUE(SPLIT(E19,"" ""))))"),0.3277777777777778)</f>
        <v>0.3277777778</v>
      </c>
      <c r="G19" s="30">
        <f>IFERROR(__xludf.DUMMYFUNCTION("MAX(ARRAYFORMULA(TIMEVALUE(SPLIT(E19,"" ""))))"),0.8131944444444444)</f>
        <v>0.8131944444</v>
      </c>
      <c r="H19" s="31"/>
      <c r="I19" s="31"/>
      <c r="J19" s="39">
        <f t="shared" si="1"/>
        <v>3</v>
      </c>
      <c r="K19" s="40"/>
      <c r="L19" s="31"/>
      <c r="M19" s="31" t="str">
        <f t="shared" si="2"/>
        <v/>
      </c>
      <c r="N19" s="26" t="s">
        <v>28</v>
      </c>
      <c r="O19" s="41"/>
      <c r="P19" s="41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42">
        <v>39655.0</v>
      </c>
      <c r="B20" s="42" t="s">
        <v>22</v>
      </c>
      <c r="C20" s="42" t="s">
        <v>23</v>
      </c>
      <c r="D20" s="43">
        <v>46257.0</v>
      </c>
      <c r="E20" s="42" t="s">
        <v>56</v>
      </c>
      <c r="F20" s="44">
        <f>IFERROR(__xludf.DUMMYFUNCTION("MIN(ARRAYFORMULA(TIMEVALUE(SPLIT(E20,"" ""))))"),0.33125)</f>
        <v>0.33125</v>
      </c>
      <c r="G20" s="44">
        <f>IFERROR(__xludf.DUMMYFUNCTION("MAX(ARRAYFORMULA(TIMEVALUE(SPLIT(E20,"" ""))))"),0.5)</f>
        <v>0.5</v>
      </c>
      <c r="H20" s="45"/>
      <c r="I20" s="45"/>
      <c r="J20" s="46">
        <f t="shared" si="1"/>
        <v>1</v>
      </c>
      <c r="K20" s="27"/>
      <c r="L20" s="38"/>
      <c r="M20" s="38" t="str">
        <f t="shared" si="2"/>
        <v/>
      </c>
      <c r="N20" s="47"/>
      <c r="O20" s="48" t="str">
        <f t="shared" ref="O20:O108" si="6">CHOOSE(WEEKDAY(D20,2),"Hai","Ba","Tư","Năm","Sáu","Bảy","CN")</f>
        <v>CN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42">
        <v>39655.0</v>
      </c>
      <c r="B21" s="42" t="s">
        <v>22</v>
      </c>
      <c r="C21" s="42" t="s">
        <v>23</v>
      </c>
      <c r="D21" s="43">
        <v>46258.0</v>
      </c>
      <c r="E21" s="42" t="s">
        <v>57</v>
      </c>
      <c r="F21" s="44">
        <f>IFERROR(__xludf.DUMMYFUNCTION("MIN(ARRAYFORMULA(TIMEVALUE(SPLIT(E21,"" ""))))"),0.55625)</f>
        <v>0.55625</v>
      </c>
      <c r="G21" s="44">
        <f>IFERROR(__xludf.DUMMYFUNCTION("MAX(ARRAYFORMULA(TIMEVALUE(SPLIT(E21,"" ""))))"),0.8138888888888889)</f>
        <v>0.8138888889</v>
      </c>
      <c r="H21" s="45"/>
      <c r="I21" s="45"/>
      <c r="J21" s="46">
        <f t="shared" si="1"/>
        <v>2</v>
      </c>
      <c r="K21" s="27"/>
      <c r="L21" s="38"/>
      <c r="M21" s="38" t="str">
        <f t="shared" si="2"/>
        <v/>
      </c>
      <c r="N21" s="47"/>
      <c r="O21" s="48" t="str">
        <f t="shared" si="6"/>
        <v>Hai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42">
        <v>39655.0</v>
      </c>
      <c r="B22" s="42" t="s">
        <v>22</v>
      </c>
      <c r="C22" s="42" t="s">
        <v>23</v>
      </c>
      <c r="D22" s="43">
        <v>46260.0</v>
      </c>
      <c r="E22" s="42" t="s">
        <v>58</v>
      </c>
      <c r="F22" s="44">
        <f>IFERROR(__xludf.DUMMYFUNCTION("MIN(ARRAYFORMULA(TIMEVALUE(SPLIT(E22,"" ""))))"),0.5576388888888889)</f>
        <v>0.5576388889</v>
      </c>
      <c r="G22" s="44">
        <f>IFERROR(__xludf.DUMMYFUNCTION("MAX(ARRAYFORMULA(TIMEVALUE(SPLIT(E22,"" ""))))"),0.8125)</f>
        <v>0.8125</v>
      </c>
      <c r="H22" s="45"/>
      <c r="I22" s="45"/>
      <c r="J22" s="46">
        <f t="shared" si="1"/>
        <v>2</v>
      </c>
      <c r="K22" s="27"/>
      <c r="L22" s="38"/>
      <c r="M22" s="38" t="str">
        <f t="shared" si="2"/>
        <v/>
      </c>
      <c r="N22" s="47"/>
      <c r="O22" s="48" t="str">
        <f t="shared" si="6"/>
        <v>Tư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6">
        <v>3.52339655E8</v>
      </c>
      <c r="B23" s="26" t="s">
        <v>22</v>
      </c>
      <c r="C23" s="26" t="s">
        <v>23</v>
      </c>
      <c r="D23" s="28">
        <v>46261.0</v>
      </c>
      <c r="E23" s="26" t="s">
        <v>59</v>
      </c>
      <c r="F23" s="30">
        <f>IFERROR(__xludf.DUMMYFUNCTION("MIN(ARRAYFORMULA(TIMEVALUE(SPLIT(E23,"" ""))))"),0.33402777777777776)</f>
        <v>0.3340277778</v>
      </c>
      <c r="G23" s="30">
        <f>IFERROR(__xludf.DUMMYFUNCTION("MAX(ARRAYFORMULA(TIMEVALUE(SPLIT(E23,"" ""))))"),0.8125)</f>
        <v>0.8125</v>
      </c>
      <c r="H23" s="26">
        <v>1.0</v>
      </c>
      <c r="I23" s="31"/>
      <c r="J23" s="39">
        <f t="shared" si="1"/>
        <v>3</v>
      </c>
      <c r="K23" s="40"/>
      <c r="L23" s="31"/>
      <c r="M23" s="31" t="str">
        <f t="shared" si="2"/>
        <v/>
      </c>
      <c r="N23" s="26" t="s">
        <v>60</v>
      </c>
      <c r="O23" s="48" t="str">
        <f t="shared" si="6"/>
        <v>Năm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42">
        <v>39655.0</v>
      </c>
      <c r="B24" s="42" t="s">
        <v>22</v>
      </c>
      <c r="C24" s="42" t="s">
        <v>23</v>
      </c>
      <c r="D24" s="43">
        <v>46262.0</v>
      </c>
      <c r="E24" s="42" t="s">
        <v>62</v>
      </c>
      <c r="F24" s="44">
        <f>IFERROR(__xludf.DUMMYFUNCTION("MIN(ARRAYFORMULA(TIMEVALUE(SPLIT(E24,"" ""))))"),0.5604166666666667)</f>
        <v>0.5604166667</v>
      </c>
      <c r="G24" s="44">
        <f>IFERROR(__xludf.DUMMYFUNCTION("MAX(ARRAYFORMULA(TIMEVALUE(SPLIT(E24,"" ""))))"),0.8125)</f>
        <v>0.8125</v>
      </c>
      <c r="H24" s="45"/>
      <c r="I24" s="45"/>
      <c r="J24" s="46">
        <f t="shared" si="1"/>
        <v>2</v>
      </c>
      <c r="K24" s="27"/>
      <c r="L24" s="38"/>
      <c r="M24" s="38" t="str">
        <f t="shared" si="2"/>
        <v/>
      </c>
      <c r="N24" s="47"/>
      <c r="O24" s="48" t="str">
        <f t="shared" si="6"/>
        <v>Sáu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42">
        <v>39655.0</v>
      </c>
      <c r="B25" s="42" t="s">
        <v>22</v>
      </c>
      <c r="C25" s="42" t="s">
        <v>23</v>
      </c>
      <c r="D25" s="43">
        <v>46263.0</v>
      </c>
      <c r="E25" s="42" t="s">
        <v>63</v>
      </c>
      <c r="F25" s="44">
        <f>IFERROR(__xludf.DUMMYFUNCTION("MIN(ARRAYFORMULA(TIMEVALUE(SPLIT(E25,"" ""))))"),0.3298611111111111)</f>
        <v>0.3298611111</v>
      </c>
      <c r="G25" s="44">
        <f>IFERROR(__xludf.DUMMYFUNCTION("MAX(ARRAYFORMULA(TIMEVALUE(SPLIT(E25,"" ""))))"),0.8131944444444444)</f>
        <v>0.8131944444</v>
      </c>
      <c r="H25" s="45"/>
      <c r="I25" s="45"/>
      <c r="J25" s="46">
        <f t="shared" si="1"/>
        <v>3</v>
      </c>
      <c r="K25" s="27"/>
      <c r="L25" s="38"/>
      <c r="M25" s="38" t="str">
        <f t="shared" si="2"/>
        <v/>
      </c>
      <c r="N25" s="47"/>
      <c r="O25" s="48" t="str">
        <f t="shared" si="6"/>
        <v>Bảy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42">
        <v>39655.0</v>
      </c>
      <c r="B26" s="42" t="s">
        <v>22</v>
      </c>
      <c r="C26" s="42" t="s">
        <v>23</v>
      </c>
      <c r="D26" s="43">
        <v>46264.0</v>
      </c>
      <c r="E26" s="42" t="s">
        <v>64</v>
      </c>
      <c r="F26" s="44">
        <f>IFERROR(__xludf.DUMMYFUNCTION("MIN(ARRAYFORMULA(TIMEVALUE(SPLIT(E26,"" ""))))"),0.33055555555555555)</f>
        <v>0.3305555556</v>
      </c>
      <c r="G26" s="44">
        <f>IFERROR(__xludf.DUMMYFUNCTION("MAX(ARRAYFORMULA(TIMEVALUE(SPLIT(E26,"" ""))))"),0.75)</f>
        <v>0.75</v>
      </c>
      <c r="H26" s="45"/>
      <c r="I26" s="45"/>
      <c r="J26" s="46">
        <f t="shared" si="1"/>
        <v>2</v>
      </c>
      <c r="K26" s="27"/>
      <c r="L26" s="38"/>
      <c r="M26" s="38">
        <f t="shared" si="2"/>
        <v>1</v>
      </c>
      <c r="N26" s="47"/>
      <c r="O26" s="48" t="str">
        <f t="shared" si="6"/>
        <v>CN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42">
        <v>39655.0</v>
      </c>
      <c r="B27" s="42" t="s">
        <v>22</v>
      </c>
      <c r="C27" s="42" t="s">
        <v>23</v>
      </c>
      <c r="D27" s="43">
        <v>46265.0</v>
      </c>
      <c r="E27" s="42" t="s">
        <v>65</v>
      </c>
      <c r="F27" s="44">
        <f>IFERROR(__xludf.DUMMYFUNCTION("MIN(ARRAYFORMULA(TIMEVALUE(SPLIT(E27,"" ""))))"),0.5652777777777778)</f>
        <v>0.5652777778</v>
      </c>
      <c r="G27" s="44">
        <f>IFERROR(__xludf.DUMMYFUNCTION("MAX(ARRAYFORMULA(TIMEVALUE(SPLIT(E27,"" ""))))"),0.8125)</f>
        <v>0.8125</v>
      </c>
      <c r="H27" s="45"/>
      <c r="I27" s="45"/>
      <c r="J27" s="46">
        <f t="shared" si="1"/>
        <v>2</v>
      </c>
      <c r="K27" s="27"/>
      <c r="L27" s="38"/>
      <c r="M27" s="38" t="str">
        <f t="shared" si="2"/>
        <v/>
      </c>
      <c r="N27" s="47"/>
      <c r="O27" s="48" t="str">
        <f t="shared" si="6"/>
        <v>Hai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42">
        <v>74798.0</v>
      </c>
      <c r="B28" s="42" t="s">
        <v>30</v>
      </c>
      <c r="C28" s="42" t="s">
        <v>23</v>
      </c>
      <c r="D28" s="43">
        <v>46235.0</v>
      </c>
      <c r="E28" s="42" t="s">
        <v>68</v>
      </c>
      <c r="F28" s="44">
        <f>IFERROR(__xludf.DUMMYFUNCTION("MIN(ARRAYFORMULA(TIMEVALUE(SPLIT(E28,"" ""))))"),0.3486111111111111)</f>
        <v>0.3486111111</v>
      </c>
      <c r="G28" s="44">
        <f>IFERROR(__xludf.DUMMYFUNCTION("MAX(ARRAYFORMULA(TIMEVALUE(SPLIT(E28,"" ""))))"),0.8125)</f>
        <v>0.8125</v>
      </c>
      <c r="H28" s="42">
        <v>22.0</v>
      </c>
      <c r="I28" s="45"/>
      <c r="J28" s="46">
        <f t="shared" si="1"/>
        <v>2</v>
      </c>
      <c r="K28" s="27"/>
      <c r="L28" s="38"/>
      <c r="M28" s="38" t="str">
        <f t="shared" si="2"/>
        <v/>
      </c>
      <c r="N28" s="47"/>
      <c r="O28" s="48" t="str">
        <f t="shared" si="6"/>
        <v>Bảy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42">
        <v>74798.0</v>
      </c>
      <c r="B29" s="42" t="s">
        <v>30</v>
      </c>
      <c r="C29" s="42" t="s">
        <v>23</v>
      </c>
      <c r="D29" s="43">
        <v>46236.0</v>
      </c>
      <c r="E29" s="42" t="s">
        <v>69</v>
      </c>
      <c r="F29" s="44">
        <f>IFERROR(__xludf.DUMMYFUNCTION("MIN(ARRAYFORMULA(TIMEVALUE(SPLIT(E29,"" ""))))"),0.3284722222222222)</f>
        <v>0.3284722222</v>
      </c>
      <c r="G29" s="44">
        <f>IFERROR(__xludf.DUMMYFUNCTION("MAX(ARRAYFORMULA(TIMEVALUE(SPLIT(E29,"" ""))))"),0.7583333333333333)</f>
        <v>0.7583333333</v>
      </c>
      <c r="H29" s="45"/>
      <c r="I29" s="45"/>
      <c r="J29" s="46">
        <f t="shared" si="1"/>
        <v>2</v>
      </c>
      <c r="K29" s="27"/>
      <c r="L29" s="38"/>
      <c r="M29" s="38">
        <f t="shared" si="2"/>
        <v>1</v>
      </c>
      <c r="N29" s="47"/>
      <c r="O29" s="48" t="str">
        <f t="shared" si="6"/>
        <v>CN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42">
        <v>74798.0</v>
      </c>
      <c r="B30" s="42" t="s">
        <v>30</v>
      </c>
      <c r="C30" s="42" t="s">
        <v>23</v>
      </c>
      <c r="D30" s="43">
        <v>46237.0</v>
      </c>
      <c r="E30" s="42" t="s">
        <v>70</v>
      </c>
      <c r="F30" s="44">
        <f>IFERROR(__xludf.DUMMYFUNCTION("MIN(ARRAYFORMULA(TIMEVALUE(SPLIT(E30,"" ""))))"),0.33194444444444443)</f>
        <v>0.3319444444</v>
      </c>
      <c r="G30" s="44">
        <f>IFERROR(__xludf.DUMMYFUNCTION("MAX(ARRAYFORMULA(TIMEVALUE(SPLIT(E30,"" ""))))"),0.8125)</f>
        <v>0.8125</v>
      </c>
      <c r="H30" s="45"/>
      <c r="I30" s="45"/>
      <c r="J30" s="46">
        <f t="shared" si="1"/>
        <v>3</v>
      </c>
      <c r="K30" s="27"/>
      <c r="L30" s="38"/>
      <c r="M30" s="38" t="str">
        <f t="shared" si="2"/>
        <v/>
      </c>
      <c r="N30" s="47"/>
      <c r="O30" s="48" t="str">
        <f t="shared" si="6"/>
        <v>Hai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42">
        <v>74798.0</v>
      </c>
      <c r="B31" s="42" t="s">
        <v>30</v>
      </c>
      <c r="C31" s="42" t="s">
        <v>23</v>
      </c>
      <c r="D31" s="43">
        <v>46239.0</v>
      </c>
      <c r="E31" s="42" t="s">
        <v>71</v>
      </c>
      <c r="F31" s="44">
        <f>IFERROR(__xludf.DUMMYFUNCTION("MIN(ARRAYFORMULA(TIMEVALUE(SPLIT(E31,"" ""))))"),0.33055555555555555)</f>
        <v>0.3305555556</v>
      </c>
      <c r="G31" s="44">
        <f>IFERROR(__xludf.DUMMYFUNCTION("MAX(ARRAYFORMULA(TIMEVALUE(SPLIT(E31,"" ""))))"),0.8125)</f>
        <v>0.8125</v>
      </c>
      <c r="H31" s="45"/>
      <c r="I31" s="45"/>
      <c r="J31" s="46">
        <f t="shared" si="1"/>
        <v>3</v>
      </c>
      <c r="K31" s="27"/>
      <c r="L31" s="38"/>
      <c r="M31" s="38" t="str">
        <f t="shared" si="2"/>
        <v/>
      </c>
      <c r="N31" s="47"/>
      <c r="O31" s="48" t="str">
        <f t="shared" si="6"/>
        <v>Tư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42">
        <v>74798.0</v>
      </c>
      <c r="B32" s="42" t="s">
        <v>30</v>
      </c>
      <c r="C32" s="42" t="s">
        <v>23</v>
      </c>
      <c r="D32" s="43">
        <v>46240.0</v>
      </c>
      <c r="E32" s="42" t="s">
        <v>73</v>
      </c>
      <c r="F32" s="44">
        <f>IFERROR(__xludf.DUMMYFUNCTION("MIN(ARRAYFORMULA(TIMEVALUE(SPLIT(E32,"" ""))))"),0.3333333333333333)</f>
        <v>0.3333333333</v>
      </c>
      <c r="G32" s="44">
        <f>IFERROR(__xludf.DUMMYFUNCTION("MAX(ARRAYFORMULA(TIMEVALUE(SPLIT(E32,"" ""))))"),0.8125)</f>
        <v>0.8125</v>
      </c>
      <c r="H32" s="45"/>
      <c r="I32" s="45"/>
      <c r="J32" s="46">
        <f t="shared" si="1"/>
        <v>3</v>
      </c>
      <c r="K32" s="27"/>
      <c r="L32" s="38"/>
      <c r="M32" s="38" t="str">
        <f t="shared" si="2"/>
        <v/>
      </c>
      <c r="N32" s="47"/>
      <c r="O32" s="48" t="str">
        <f t="shared" si="6"/>
        <v>Năm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42">
        <v>74798.0</v>
      </c>
      <c r="B33" s="42" t="s">
        <v>30</v>
      </c>
      <c r="C33" s="42" t="s">
        <v>23</v>
      </c>
      <c r="D33" s="43">
        <v>46241.0</v>
      </c>
      <c r="E33" s="42" t="s">
        <v>74</v>
      </c>
      <c r="F33" s="44">
        <f>IFERROR(__xludf.DUMMYFUNCTION("MIN(ARRAYFORMULA(TIMEVALUE(SPLIT(E33,"" ""))))"),0.3368055555555556)</f>
        <v>0.3368055556</v>
      </c>
      <c r="G33" s="44">
        <f>IFERROR(__xludf.DUMMYFUNCTION("MAX(ARRAYFORMULA(TIMEVALUE(SPLIT(E33,"" ""))))"),0.8131944444444444)</f>
        <v>0.8131944444</v>
      </c>
      <c r="H33" s="42">
        <v>5.0</v>
      </c>
      <c r="I33" s="45"/>
      <c r="J33" s="46">
        <f t="shared" si="1"/>
        <v>3</v>
      </c>
      <c r="K33" s="27"/>
      <c r="L33" s="38"/>
      <c r="M33" s="38" t="str">
        <f t="shared" si="2"/>
        <v/>
      </c>
      <c r="N33" s="47"/>
      <c r="O33" s="48" t="str">
        <f t="shared" si="6"/>
        <v>Sáu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42">
        <v>74798.0</v>
      </c>
      <c r="B34" s="42" t="s">
        <v>30</v>
      </c>
      <c r="C34" s="42" t="s">
        <v>23</v>
      </c>
      <c r="D34" s="43">
        <v>46243.0</v>
      </c>
      <c r="E34" s="42" t="s">
        <v>75</v>
      </c>
      <c r="F34" s="44">
        <f>IFERROR(__xludf.DUMMYFUNCTION("MIN(ARRAYFORMULA(TIMEVALUE(SPLIT(E34,"" ""))))"),0.3298611111111111)</f>
        <v>0.3298611111</v>
      </c>
      <c r="G34" s="44">
        <f>IFERROR(__xludf.DUMMYFUNCTION("MAX(ARRAYFORMULA(TIMEVALUE(SPLIT(E34,"" ""))))"),0.75)</f>
        <v>0.75</v>
      </c>
      <c r="H34" s="45"/>
      <c r="I34" s="45"/>
      <c r="J34" s="46">
        <f t="shared" si="1"/>
        <v>2</v>
      </c>
      <c r="K34" s="27"/>
      <c r="L34" s="38"/>
      <c r="M34" s="38">
        <f t="shared" si="2"/>
        <v>1</v>
      </c>
      <c r="N34" s="47"/>
      <c r="O34" s="48" t="str">
        <f t="shared" si="6"/>
        <v>CN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42">
        <v>74798.0</v>
      </c>
      <c r="B35" s="42" t="s">
        <v>30</v>
      </c>
      <c r="C35" s="42" t="s">
        <v>23</v>
      </c>
      <c r="D35" s="43">
        <v>46244.0</v>
      </c>
      <c r="E35" s="42" t="s">
        <v>77</v>
      </c>
      <c r="F35" s="44">
        <f>IFERROR(__xludf.DUMMYFUNCTION("MIN(ARRAYFORMULA(TIMEVALUE(SPLIT(E35,"" ""))))"),0.3368055555555556)</f>
        <v>0.3368055556</v>
      </c>
      <c r="G35" s="44">
        <f>IFERROR(__xludf.DUMMYFUNCTION("MAX(ARRAYFORMULA(TIMEVALUE(SPLIT(E35,"" ""))))"),0.8125)</f>
        <v>0.8125</v>
      </c>
      <c r="H35" s="42">
        <v>5.0</v>
      </c>
      <c r="I35" s="45"/>
      <c r="J35" s="46">
        <f t="shared" si="1"/>
        <v>3</v>
      </c>
      <c r="K35" s="27"/>
      <c r="L35" s="38"/>
      <c r="M35" s="38" t="str">
        <f t="shared" si="2"/>
        <v/>
      </c>
      <c r="N35" s="47"/>
      <c r="O35" s="48" t="str">
        <f t="shared" si="6"/>
        <v>Hai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42">
        <v>74798.0</v>
      </c>
      <c r="B36" s="42" t="s">
        <v>30</v>
      </c>
      <c r="C36" s="42" t="s">
        <v>23</v>
      </c>
      <c r="D36" s="43">
        <v>46248.0</v>
      </c>
      <c r="E36" s="42" t="s">
        <v>78</v>
      </c>
      <c r="F36" s="44">
        <f>IFERROR(__xludf.DUMMYFUNCTION("MIN(ARRAYFORMULA(TIMEVALUE(SPLIT(E36,"" ""))))"),0.33819444444444446)</f>
        <v>0.3381944444</v>
      </c>
      <c r="G36" s="44">
        <f>IFERROR(__xludf.DUMMYFUNCTION("MAX(ARRAYFORMULA(TIMEVALUE(SPLIT(E36,"" ""))))"),0.8125)</f>
        <v>0.8125</v>
      </c>
      <c r="H36" s="42">
        <v>7.0</v>
      </c>
      <c r="I36" s="45"/>
      <c r="J36" s="46">
        <f t="shared" si="1"/>
        <v>3</v>
      </c>
      <c r="K36" s="27"/>
      <c r="L36" s="38"/>
      <c r="M36" s="38" t="str">
        <f t="shared" si="2"/>
        <v/>
      </c>
      <c r="N36" s="47"/>
      <c r="O36" s="48" t="str">
        <f t="shared" si="6"/>
        <v>Sáu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42">
        <v>74798.0</v>
      </c>
      <c r="B37" s="42" t="s">
        <v>30</v>
      </c>
      <c r="C37" s="42" t="s">
        <v>23</v>
      </c>
      <c r="D37" s="43">
        <v>46249.0</v>
      </c>
      <c r="E37" s="42" t="s">
        <v>79</v>
      </c>
      <c r="F37" s="44">
        <f>IFERROR(__xludf.DUMMYFUNCTION("MIN(ARRAYFORMULA(TIMEVALUE(SPLIT(E37,"" ""))))"),0.3326388888888889)</f>
        <v>0.3326388889</v>
      </c>
      <c r="G37" s="44">
        <f>IFERROR(__xludf.DUMMYFUNCTION("MAX(ARRAYFORMULA(TIMEVALUE(SPLIT(E37,"" ""))))"),0.8125)</f>
        <v>0.8125</v>
      </c>
      <c r="H37" s="45"/>
      <c r="I37" s="45"/>
      <c r="J37" s="46">
        <f t="shared" si="1"/>
        <v>3</v>
      </c>
      <c r="K37" s="27"/>
      <c r="L37" s="38"/>
      <c r="M37" s="38" t="str">
        <f t="shared" si="2"/>
        <v/>
      </c>
      <c r="N37" s="47"/>
      <c r="O37" s="48" t="str">
        <f t="shared" si="6"/>
        <v>Bảy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42">
        <v>74798.0</v>
      </c>
      <c r="B38" s="42" t="s">
        <v>30</v>
      </c>
      <c r="C38" s="42" t="s">
        <v>23</v>
      </c>
      <c r="D38" s="43">
        <v>46250.0</v>
      </c>
      <c r="E38" s="42" t="s">
        <v>81</v>
      </c>
      <c r="F38" s="44">
        <f>IFERROR(__xludf.DUMMYFUNCTION("MIN(ARRAYFORMULA(TIMEVALUE(SPLIT(E38,"" ""))))"),0.3368055555555556)</f>
        <v>0.3368055556</v>
      </c>
      <c r="G38" s="44">
        <f>IFERROR(__xludf.DUMMYFUNCTION("MAX(ARRAYFORMULA(TIMEVALUE(SPLIT(E38,"" ""))))"),0.7506944444444444)</f>
        <v>0.7506944444</v>
      </c>
      <c r="H38" s="42">
        <v>5.0</v>
      </c>
      <c r="I38" s="45"/>
      <c r="J38" s="46">
        <f t="shared" si="1"/>
        <v>2</v>
      </c>
      <c r="K38" s="27"/>
      <c r="L38" s="38"/>
      <c r="M38" s="38">
        <f t="shared" si="2"/>
        <v>1</v>
      </c>
      <c r="N38" s="47"/>
      <c r="O38" s="48" t="str">
        <f t="shared" si="6"/>
        <v>CN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42">
        <v>74798.0</v>
      </c>
      <c r="B39" s="42" t="s">
        <v>30</v>
      </c>
      <c r="C39" s="42" t="s">
        <v>23</v>
      </c>
      <c r="D39" s="43">
        <v>46251.0</v>
      </c>
      <c r="E39" s="42" t="s">
        <v>82</v>
      </c>
      <c r="F39" s="44">
        <f>IFERROR(__xludf.DUMMYFUNCTION("MIN(ARRAYFORMULA(TIMEVALUE(SPLIT(E39,"" ""))))"),0.3333333333333333)</f>
        <v>0.3333333333</v>
      </c>
      <c r="G39" s="44">
        <f>IFERROR(__xludf.DUMMYFUNCTION("MAX(ARRAYFORMULA(TIMEVALUE(SPLIT(E39,"" ""))))"),0.8166666666666667)</f>
        <v>0.8166666667</v>
      </c>
      <c r="H39" s="45"/>
      <c r="I39" s="45"/>
      <c r="J39" s="46">
        <f t="shared" si="1"/>
        <v>3</v>
      </c>
      <c r="K39" s="27"/>
      <c r="L39" s="38"/>
      <c r="M39" s="38" t="str">
        <f t="shared" si="2"/>
        <v/>
      </c>
      <c r="N39" s="47"/>
      <c r="O39" s="48" t="str">
        <f t="shared" si="6"/>
        <v>Hai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42">
        <v>74798.0</v>
      </c>
      <c r="B40" s="42" t="s">
        <v>30</v>
      </c>
      <c r="C40" s="42" t="s">
        <v>23</v>
      </c>
      <c r="D40" s="43">
        <v>46252.0</v>
      </c>
      <c r="E40" s="42" t="s">
        <v>83</v>
      </c>
      <c r="F40" s="44">
        <f>IFERROR(__xludf.DUMMYFUNCTION("MIN(ARRAYFORMULA(TIMEVALUE(SPLIT(E40,"" ""))))"),0.3298611111111111)</f>
        <v>0.3298611111</v>
      </c>
      <c r="G40" s="44">
        <f>IFERROR(__xludf.DUMMYFUNCTION("MAX(ARRAYFORMULA(TIMEVALUE(SPLIT(E40,"" ""))))"),0.8125)</f>
        <v>0.8125</v>
      </c>
      <c r="H40" s="45"/>
      <c r="I40" s="45"/>
      <c r="J40" s="46">
        <f t="shared" si="1"/>
        <v>3</v>
      </c>
      <c r="K40" s="27"/>
      <c r="L40" s="38"/>
      <c r="M40" s="38" t="str">
        <f t="shared" si="2"/>
        <v/>
      </c>
      <c r="N40" s="47"/>
      <c r="O40" s="48" t="str">
        <f t="shared" si="6"/>
        <v>Ba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42">
        <v>74798.0</v>
      </c>
      <c r="B41" s="42" t="s">
        <v>30</v>
      </c>
      <c r="C41" s="42" t="s">
        <v>23</v>
      </c>
      <c r="D41" s="43">
        <v>46254.0</v>
      </c>
      <c r="E41" s="42" t="s">
        <v>84</v>
      </c>
      <c r="F41" s="44">
        <f>IFERROR(__xludf.DUMMYFUNCTION("MIN(ARRAYFORMULA(TIMEVALUE(SPLIT(E41,"" ""))))"),0.33611111111111114)</f>
        <v>0.3361111111</v>
      </c>
      <c r="G41" s="44">
        <f>IFERROR(__xludf.DUMMYFUNCTION("MAX(ARRAYFORMULA(TIMEVALUE(SPLIT(E41,"" ""))))"),0.8125)</f>
        <v>0.8125</v>
      </c>
      <c r="H41" s="45"/>
      <c r="I41" s="45"/>
      <c r="J41" s="46">
        <f t="shared" si="1"/>
        <v>3</v>
      </c>
      <c r="K41" s="27"/>
      <c r="L41" s="38"/>
      <c r="M41" s="38" t="str">
        <f t="shared" si="2"/>
        <v/>
      </c>
      <c r="N41" s="47"/>
      <c r="O41" s="48" t="str">
        <f t="shared" si="6"/>
        <v>Năm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42">
        <v>74798.0</v>
      </c>
      <c r="B42" s="42" t="s">
        <v>30</v>
      </c>
      <c r="C42" s="42" t="s">
        <v>23</v>
      </c>
      <c r="D42" s="43">
        <v>46255.0</v>
      </c>
      <c r="E42" s="42" t="s">
        <v>86</v>
      </c>
      <c r="F42" s="44">
        <f>IFERROR(__xludf.DUMMYFUNCTION("MIN(ARRAYFORMULA(TIMEVALUE(SPLIT(E42,"" ""))))"),0.3145833333333333)</f>
        <v>0.3145833333</v>
      </c>
      <c r="G42" s="44">
        <f>IFERROR(__xludf.DUMMYFUNCTION("MAX(ARRAYFORMULA(TIMEVALUE(SPLIT(E42,"" ""))))"),0.8125)</f>
        <v>0.8125</v>
      </c>
      <c r="H42" s="45"/>
      <c r="I42" s="45"/>
      <c r="J42" s="46">
        <f t="shared" si="1"/>
        <v>3</v>
      </c>
      <c r="K42" s="27"/>
      <c r="L42" s="38"/>
      <c r="M42" s="38" t="str">
        <f t="shared" si="2"/>
        <v/>
      </c>
      <c r="N42" s="47"/>
      <c r="O42" s="48" t="str">
        <f t="shared" si="6"/>
        <v>Sáu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42">
        <v>74798.0</v>
      </c>
      <c r="B43" s="42" t="s">
        <v>30</v>
      </c>
      <c r="C43" s="42" t="s">
        <v>23</v>
      </c>
      <c r="D43" s="43">
        <v>46256.0</v>
      </c>
      <c r="E43" s="42" t="s">
        <v>87</v>
      </c>
      <c r="F43" s="44">
        <f>IFERROR(__xludf.DUMMYFUNCTION("MIN(ARRAYFORMULA(TIMEVALUE(SPLIT(E43,"" ""))))"),0.32013888888888886)</f>
        <v>0.3201388889</v>
      </c>
      <c r="G43" s="44">
        <f>IFERROR(__xludf.DUMMYFUNCTION("MAX(ARRAYFORMULA(TIMEVALUE(SPLIT(E43,"" ""))))"),0.8125)</f>
        <v>0.8125</v>
      </c>
      <c r="H43" s="45"/>
      <c r="I43" s="45"/>
      <c r="J43" s="46">
        <f t="shared" si="1"/>
        <v>3</v>
      </c>
      <c r="K43" s="27"/>
      <c r="L43" s="38"/>
      <c r="M43" s="38" t="str">
        <f t="shared" si="2"/>
        <v/>
      </c>
      <c r="N43" s="47"/>
      <c r="O43" s="48" t="str">
        <f t="shared" si="6"/>
        <v>Bảy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42">
        <v>74798.0</v>
      </c>
      <c r="B44" s="42" t="s">
        <v>30</v>
      </c>
      <c r="C44" s="42" t="s">
        <v>23</v>
      </c>
      <c r="D44" s="43">
        <v>46257.0</v>
      </c>
      <c r="E44" s="42" t="s">
        <v>88</v>
      </c>
      <c r="F44" s="44">
        <f>IFERROR(__xludf.DUMMYFUNCTION("MIN(ARRAYFORMULA(TIMEVALUE(SPLIT(E44,"" ""))))"),0.32708333333333334)</f>
        <v>0.3270833333</v>
      </c>
      <c r="G44" s="44">
        <f>IFERROR(__xludf.DUMMYFUNCTION("MAX(ARRAYFORMULA(TIMEVALUE(SPLIT(E44,"" ""))))"),0.5006944444444444)</f>
        <v>0.5006944444</v>
      </c>
      <c r="H44" s="45"/>
      <c r="I44" s="45"/>
      <c r="J44" s="46">
        <f t="shared" si="1"/>
        <v>1</v>
      </c>
      <c r="K44" s="27"/>
      <c r="L44" s="38"/>
      <c r="M44" s="38" t="str">
        <f t="shared" si="2"/>
        <v/>
      </c>
      <c r="N44" s="47"/>
      <c r="O44" s="48" t="str">
        <f t="shared" si="6"/>
        <v>CN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42">
        <v>74798.0</v>
      </c>
      <c r="B45" s="42" t="s">
        <v>30</v>
      </c>
      <c r="C45" s="42" t="s">
        <v>23</v>
      </c>
      <c r="D45" s="43">
        <v>46258.0</v>
      </c>
      <c r="E45" s="42" t="s">
        <v>89</v>
      </c>
      <c r="F45" s="44">
        <f>IFERROR(__xludf.DUMMYFUNCTION("MIN(ARRAYFORMULA(TIMEVALUE(SPLIT(E45,"" ""))))"),0.33055555555555555)</f>
        <v>0.3305555556</v>
      </c>
      <c r="G45" s="44">
        <f>IFERROR(__xludf.DUMMYFUNCTION("MAX(ARRAYFORMULA(TIMEVALUE(SPLIT(E45,"" ""))))"),0.8145833333333333)</f>
        <v>0.8145833333</v>
      </c>
      <c r="H45" s="45"/>
      <c r="I45" s="45"/>
      <c r="J45" s="46">
        <f t="shared" si="1"/>
        <v>3</v>
      </c>
      <c r="K45" s="27"/>
      <c r="L45" s="38"/>
      <c r="M45" s="38" t="str">
        <f t="shared" si="2"/>
        <v/>
      </c>
      <c r="N45" s="47"/>
      <c r="O45" s="48" t="str">
        <f t="shared" si="6"/>
        <v>Hai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42">
        <v>74798.0</v>
      </c>
      <c r="B46" s="42" t="s">
        <v>30</v>
      </c>
      <c r="C46" s="42" t="s">
        <v>23</v>
      </c>
      <c r="D46" s="43">
        <v>46259.0</v>
      </c>
      <c r="E46" s="53">
        <v>0.5875</v>
      </c>
      <c r="F46" s="44">
        <f>IFERROR(__xludf.DUMMYFUNCTION("MIN(ARRAYFORMULA(TIMEVALUE(SPLIT(E46,"" ""))))"),0.5875)</f>
        <v>0.5875</v>
      </c>
      <c r="G46" s="44">
        <f>IFERROR(__xludf.DUMMYFUNCTION("MAX(ARRAYFORMULA(TIMEVALUE(SPLIT(E46,"" ""))))"),0.5875)</f>
        <v>0.5875</v>
      </c>
      <c r="H46" s="42">
        <v>36.0</v>
      </c>
      <c r="I46" s="45"/>
      <c r="J46" s="46">
        <f t="shared" si="1"/>
        <v>0</v>
      </c>
      <c r="K46" s="27"/>
      <c r="L46" s="38"/>
      <c r="M46" s="38" t="str">
        <f t="shared" si="2"/>
        <v/>
      </c>
      <c r="N46" s="47"/>
      <c r="O46" s="48" t="str">
        <f t="shared" si="6"/>
        <v>Ba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42">
        <v>74798.0</v>
      </c>
      <c r="B47" s="42" t="s">
        <v>30</v>
      </c>
      <c r="C47" s="42" t="s">
        <v>23</v>
      </c>
      <c r="D47" s="43">
        <v>46260.0</v>
      </c>
      <c r="E47" s="42" t="s">
        <v>74</v>
      </c>
      <c r="F47" s="44">
        <f>IFERROR(__xludf.DUMMYFUNCTION("MIN(ARRAYFORMULA(TIMEVALUE(SPLIT(E47,"" ""))))"),0.3368055555555556)</f>
        <v>0.3368055556</v>
      </c>
      <c r="G47" s="44">
        <f>IFERROR(__xludf.DUMMYFUNCTION("MAX(ARRAYFORMULA(TIMEVALUE(SPLIT(E47,"" ""))))"),0.8131944444444444)</f>
        <v>0.8131944444</v>
      </c>
      <c r="H47" s="42">
        <v>5.0</v>
      </c>
      <c r="I47" s="45"/>
      <c r="J47" s="46">
        <f t="shared" si="1"/>
        <v>3</v>
      </c>
      <c r="K47" s="27"/>
      <c r="L47" s="38"/>
      <c r="M47" s="38" t="str">
        <f t="shared" si="2"/>
        <v/>
      </c>
      <c r="N47" s="47"/>
      <c r="O47" s="48" t="str">
        <f t="shared" si="6"/>
        <v>Tư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42">
        <v>74798.0</v>
      </c>
      <c r="B48" s="42" t="s">
        <v>30</v>
      </c>
      <c r="C48" s="42" t="s">
        <v>23</v>
      </c>
      <c r="D48" s="43">
        <v>46261.0</v>
      </c>
      <c r="E48" s="42" t="s">
        <v>91</v>
      </c>
      <c r="F48" s="44">
        <f>IFERROR(__xludf.DUMMYFUNCTION("MIN(ARRAYFORMULA(TIMEVALUE(SPLIT(E48,"" ""))))"),0.33611111111111114)</f>
        <v>0.3361111111</v>
      </c>
      <c r="G48" s="44">
        <f>IFERROR(__xludf.DUMMYFUNCTION("MAX(ARRAYFORMULA(TIMEVALUE(SPLIT(E48,"" ""))))"),0.8131944444444444)</f>
        <v>0.8131944444</v>
      </c>
      <c r="H48" s="42">
        <v>4.0</v>
      </c>
      <c r="I48" s="45"/>
      <c r="J48" s="46">
        <f t="shared" si="1"/>
        <v>3</v>
      </c>
      <c r="K48" s="27"/>
      <c r="L48" s="38"/>
      <c r="M48" s="38" t="str">
        <f t="shared" si="2"/>
        <v/>
      </c>
      <c r="N48" s="47"/>
      <c r="O48" s="48" t="str">
        <f t="shared" si="6"/>
        <v>Năm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42">
        <v>74798.0</v>
      </c>
      <c r="B49" s="42" t="s">
        <v>30</v>
      </c>
      <c r="C49" s="42" t="s">
        <v>23</v>
      </c>
      <c r="D49" s="43">
        <v>46262.0</v>
      </c>
      <c r="E49" s="42" t="s">
        <v>94</v>
      </c>
      <c r="F49" s="44">
        <f>IFERROR(__xludf.DUMMYFUNCTION("MIN(ARRAYFORMULA(TIMEVALUE(SPLIT(E49,"" ""))))"),0.3388888888888889)</f>
        <v>0.3388888889</v>
      </c>
      <c r="G49" s="44">
        <f>IFERROR(__xludf.DUMMYFUNCTION("MAX(ARRAYFORMULA(TIMEVALUE(SPLIT(E49,"" ""))))"),0.8131944444444444)</f>
        <v>0.8131944444</v>
      </c>
      <c r="H49" s="42">
        <v>8.0</v>
      </c>
      <c r="I49" s="45"/>
      <c r="J49" s="46">
        <f t="shared" si="1"/>
        <v>3</v>
      </c>
      <c r="K49" s="27"/>
      <c r="L49" s="38"/>
      <c r="M49" s="38" t="str">
        <f t="shared" si="2"/>
        <v/>
      </c>
      <c r="N49" s="47"/>
      <c r="O49" s="48" t="str">
        <f t="shared" si="6"/>
        <v>Sáu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42">
        <v>74798.0</v>
      </c>
      <c r="B50" s="42" t="s">
        <v>30</v>
      </c>
      <c r="C50" s="42" t="s">
        <v>23</v>
      </c>
      <c r="D50" s="43">
        <v>46263.0</v>
      </c>
      <c r="E50" s="42" t="s">
        <v>59</v>
      </c>
      <c r="F50" s="44">
        <f>IFERROR(__xludf.DUMMYFUNCTION("MIN(ARRAYFORMULA(TIMEVALUE(SPLIT(E50,"" ""))))"),0.33402777777777776)</f>
        <v>0.3340277778</v>
      </c>
      <c r="G50" s="44">
        <f>IFERROR(__xludf.DUMMYFUNCTION("MAX(ARRAYFORMULA(TIMEVALUE(SPLIT(E50,"" ""))))"),0.8125)</f>
        <v>0.8125</v>
      </c>
      <c r="H50" s="42">
        <v>1.0</v>
      </c>
      <c r="I50" s="45"/>
      <c r="J50" s="46">
        <f t="shared" si="1"/>
        <v>3</v>
      </c>
      <c r="K50" s="27"/>
      <c r="L50" s="38"/>
      <c r="M50" s="38" t="str">
        <f t="shared" si="2"/>
        <v/>
      </c>
      <c r="N50" s="47"/>
      <c r="O50" s="48" t="str">
        <f t="shared" si="6"/>
        <v>Bảy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42">
        <v>74798.0</v>
      </c>
      <c r="B51" s="42" t="s">
        <v>30</v>
      </c>
      <c r="C51" s="42" t="s">
        <v>23</v>
      </c>
      <c r="D51" s="43">
        <v>46264.0</v>
      </c>
      <c r="E51" s="42" t="s">
        <v>95</v>
      </c>
      <c r="F51" s="44">
        <f>IFERROR(__xludf.DUMMYFUNCTION("MIN(ARRAYFORMULA(TIMEVALUE(SPLIT(E51,"" ""))))"),0.33055555555555555)</f>
        <v>0.3305555556</v>
      </c>
      <c r="G51" s="44">
        <f>IFERROR(__xludf.DUMMYFUNCTION("MAX(ARRAYFORMULA(TIMEVALUE(SPLIT(E51,"" ""))))"),0.75)</f>
        <v>0.75</v>
      </c>
      <c r="H51" s="45"/>
      <c r="I51" s="45"/>
      <c r="J51" s="46">
        <f t="shared" si="1"/>
        <v>2</v>
      </c>
      <c r="K51" s="27"/>
      <c r="L51" s="38"/>
      <c r="M51" s="38">
        <f t="shared" si="2"/>
        <v>1</v>
      </c>
      <c r="N51" s="47"/>
      <c r="O51" s="48" t="str">
        <f t="shared" si="6"/>
        <v>CN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42">
        <v>74798.0</v>
      </c>
      <c r="B52" s="42" t="s">
        <v>30</v>
      </c>
      <c r="C52" s="42" t="s">
        <v>23</v>
      </c>
      <c r="D52" s="43">
        <v>46265.0</v>
      </c>
      <c r="E52" s="42" t="s">
        <v>98</v>
      </c>
      <c r="F52" s="44">
        <f>IFERROR(__xludf.DUMMYFUNCTION("MIN(ARRAYFORMULA(TIMEVALUE(SPLIT(E52,"" ""))))"),0.32708333333333334)</f>
        <v>0.3270833333</v>
      </c>
      <c r="G52" s="44">
        <f>IFERROR(__xludf.DUMMYFUNCTION("MAX(ARRAYFORMULA(TIMEVALUE(SPLIT(E52,"" ""))))"),0.8131944444444444)</f>
        <v>0.8131944444</v>
      </c>
      <c r="H52" s="45"/>
      <c r="I52" s="45"/>
      <c r="J52" s="46">
        <f t="shared" si="1"/>
        <v>3</v>
      </c>
      <c r="K52" s="27"/>
      <c r="L52" s="38"/>
      <c r="M52" s="38" t="str">
        <f t="shared" si="2"/>
        <v/>
      </c>
      <c r="N52" s="47"/>
      <c r="O52" s="48" t="str">
        <f t="shared" si="6"/>
        <v>Hai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42">
        <v>13341.0</v>
      </c>
      <c r="B53" s="42" t="s">
        <v>90</v>
      </c>
      <c r="C53" s="42" t="s">
        <v>67</v>
      </c>
      <c r="D53" s="43">
        <v>46235.0</v>
      </c>
      <c r="E53" s="42" t="s">
        <v>99</v>
      </c>
      <c r="F53" s="44">
        <f>IFERROR(__xludf.DUMMYFUNCTION("MIN(ARRAYFORMULA(TIMEVALUE(SPLIT(E53,"" ""))))"),0.3229166666666667)</f>
        <v>0.3229166667</v>
      </c>
      <c r="G53" s="44">
        <f>IFERROR(__xludf.DUMMYFUNCTION("MAX(ARRAYFORMULA(TIMEVALUE(SPLIT(E53,"" ""))))"),0.8125)</f>
        <v>0.8125</v>
      </c>
      <c r="H53" s="45"/>
      <c r="I53" s="45"/>
      <c r="J53" s="46">
        <f t="shared" si="1"/>
        <v>3</v>
      </c>
      <c r="K53" s="27"/>
      <c r="L53" s="38"/>
      <c r="M53" s="38" t="str">
        <f t="shared" si="2"/>
        <v/>
      </c>
      <c r="N53" s="47"/>
      <c r="O53" s="48" t="str">
        <f t="shared" si="6"/>
        <v>Bảy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42">
        <v>13341.0</v>
      </c>
      <c r="B54" s="42" t="s">
        <v>90</v>
      </c>
      <c r="C54" s="42" t="s">
        <v>67</v>
      </c>
      <c r="D54" s="43">
        <v>46236.0</v>
      </c>
      <c r="E54" s="42" t="s">
        <v>100</v>
      </c>
      <c r="F54" s="44">
        <f>IFERROR(__xludf.DUMMYFUNCTION("MIN(ARRAYFORMULA(TIMEVALUE(SPLIT(E54,"" ""))))"),0.3229166666666667)</f>
        <v>0.3229166667</v>
      </c>
      <c r="G54" s="44">
        <f>IFERROR(__xludf.DUMMYFUNCTION("MAX(ARRAYFORMULA(TIMEVALUE(SPLIT(E54,"" ""))))"),0.7583333333333333)</f>
        <v>0.7583333333</v>
      </c>
      <c r="H54" s="45"/>
      <c r="I54" s="45"/>
      <c r="J54" s="46">
        <f t="shared" si="1"/>
        <v>2</v>
      </c>
      <c r="K54" s="51">
        <v>15.0</v>
      </c>
      <c r="L54" s="38"/>
      <c r="M54" s="38">
        <f t="shared" si="2"/>
        <v>1</v>
      </c>
      <c r="N54" s="47"/>
      <c r="O54" s="48" t="str">
        <f t="shared" si="6"/>
        <v>CN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42">
        <v>13341.0</v>
      </c>
      <c r="B55" s="42" t="s">
        <v>90</v>
      </c>
      <c r="C55" s="42" t="s">
        <v>67</v>
      </c>
      <c r="D55" s="43">
        <v>46237.0</v>
      </c>
      <c r="E55" s="42" t="s">
        <v>101</v>
      </c>
      <c r="F55" s="44">
        <f>IFERROR(__xludf.DUMMYFUNCTION("MIN(ARRAYFORMULA(TIMEVALUE(SPLIT(E55,"" ""))))"),0.3263888888888889)</f>
        <v>0.3263888889</v>
      </c>
      <c r="G55" s="44">
        <f>IFERROR(__xludf.DUMMYFUNCTION("MAX(ARRAYFORMULA(TIMEVALUE(SPLIT(E55,"" ""))))"),0.8125)</f>
        <v>0.8125</v>
      </c>
      <c r="H55" s="45"/>
      <c r="I55" s="45"/>
      <c r="J55" s="46">
        <f t="shared" si="1"/>
        <v>3</v>
      </c>
      <c r="K55" s="27"/>
      <c r="L55" s="38"/>
      <c r="M55" s="38" t="str">
        <f t="shared" si="2"/>
        <v/>
      </c>
      <c r="N55" s="47"/>
      <c r="O55" s="48" t="str">
        <f t="shared" si="6"/>
        <v>Hai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42">
        <v>13341.0</v>
      </c>
      <c r="B56" s="42" t="s">
        <v>90</v>
      </c>
      <c r="C56" s="42" t="s">
        <v>67</v>
      </c>
      <c r="D56" s="43">
        <v>46238.0</v>
      </c>
      <c r="E56" s="42" t="s">
        <v>102</v>
      </c>
      <c r="F56" s="44">
        <f>IFERROR(__xludf.DUMMYFUNCTION("MIN(ARRAYFORMULA(TIMEVALUE(SPLIT(E56,"" ""))))"),0.3263888888888889)</f>
        <v>0.3263888889</v>
      </c>
      <c r="G56" s="44">
        <f>IFERROR(__xludf.DUMMYFUNCTION("MAX(ARRAYFORMULA(TIMEVALUE(SPLIT(E56,"" ""))))"),0.8152777777777778)</f>
        <v>0.8152777778</v>
      </c>
      <c r="H56" s="45"/>
      <c r="I56" s="45"/>
      <c r="J56" s="46">
        <f t="shared" si="1"/>
        <v>3</v>
      </c>
      <c r="K56" s="27"/>
      <c r="L56" s="38"/>
      <c r="M56" s="38" t="str">
        <f t="shared" si="2"/>
        <v/>
      </c>
      <c r="N56" s="47"/>
      <c r="O56" s="48" t="str">
        <f t="shared" si="6"/>
        <v>Ba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42">
        <v>13341.0</v>
      </c>
      <c r="B57" s="42" t="s">
        <v>90</v>
      </c>
      <c r="C57" s="42" t="s">
        <v>67</v>
      </c>
      <c r="D57" s="43">
        <v>46239.0</v>
      </c>
      <c r="E57" s="42" t="s">
        <v>104</v>
      </c>
      <c r="F57" s="44">
        <f>IFERROR(__xludf.DUMMYFUNCTION("MIN(ARRAYFORMULA(TIMEVALUE(SPLIT(E57,"" ""))))"),0.3236111111111111)</f>
        <v>0.3236111111</v>
      </c>
      <c r="G57" s="44">
        <f>IFERROR(__xludf.DUMMYFUNCTION("MAX(ARRAYFORMULA(TIMEVALUE(SPLIT(E57,"" ""))))"),0.8145833333333333)</f>
        <v>0.8145833333</v>
      </c>
      <c r="H57" s="45"/>
      <c r="I57" s="45"/>
      <c r="J57" s="46">
        <f t="shared" si="1"/>
        <v>3</v>
      </c>
      <c r="K57" s="27"/>
      <c r="L57" s="38"/>
      <c r="M57" s="38" t="str">
        <f t="shared" si="2"/>
        <v/>
      </c>
      <c r="N57" s="47"/>
      <c r="O57" s="48" t="str">
        <f t="shared" si="6"/>
        <v>Tư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42">
        <v>13341.0</v>
      </c>
      <c r="B58" s="42" t="s">
        <v>90</v>
      </c>
      <c r="C58" s="42" t="s">
        <v>67</v>
      </c>
      <c r="D58" s="43">
        <v>46241.0</v>
      </c>
      <c r="E58" s="42" t="s">
        <v>105</v>
      </c>
      <c r="F58" s="44">
        <f>IFERROR(__xludf.DUMMYFUNCTION("MIN(ARRAYFORMULA(TIMEVALUE(SPLIT(E58,"" ""))))"),0.32569444444444445)</f>
        <v>0.3256944444</v>
      </c>
      <c r="G58" s="44">
        <f>IFERROR(__xludf.DUMMYFUNCTION("MAX(ARRAYFORMULA(TIMEVALUE(SPLIT(E58,"" ""))))"),0.8125)</f>
        <v>0.8125</v>
      </c>
      <c r="H58" s="45"/>
      <c r="I58" s="45"/>
      <c r="J58" s="46">
        <f t="shared" si="1"/>
        <v>3</v>
      </c>
      <c r="K58" s="27"/>
      <c r="L58" s="38"/>
      <c r="M58" s="38" t="str">
        <f t="shared" si="2"/>
        <v/>
      </c>
      <c r="N58" s="47"/>
      <c r="O58" s="48" t="str">
        <f t="shared" si="6"/>
        <v>Sáu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42">
        <v>13341.0</v>
      </c>
      <c r="B59" s="42" t="s">
        <v>90</v>
      </c>
      <c r="C59" s="42" t="s">
        <v>67</v>
      </c>
      <c r="D59" s="43">
        <v>46242.0</v>
      </c>
      <c r="E59" s="42" t="s">
        <v>106</v>
      </c>
      <c r="F59" s="44">
        <f>IFERROR(__xludf.DUMMYFUNCTION("MIN(ARRAYFORMULA(TIMEVALUE(SPLIT(E59,"" ""))))"),0.32222222222222224)</f>
        <v>0.3222222222</v>
      </c>
      <c r="G59" s="44">
        <f>IFERROR(__xludf.DUMMYFUNCTION("MAX(ARRAYFORMULA(TIMEVALUE(SPLIT(E59,"" ""))))"),0.8125)</f>
        <v>0.8125</v>
      </c>
      <c r="H59" s="45"/>
      <c r="I59" s="45"/>
      <c r="J59" s="46">
        <f t="shared" si="1"/>
        <v>3</v>
      </c>
      <c r="K59" s="27"/>
      <c r="L59" s="38"/>
      <c r="M59" s="38" t="str">
        <f t="shared" si="2"/>
        <v/>
      </c>
      <c r="N59" s="47"/>
      <c r="O59" s="48" t="str">
        <f t="shared" si="6"/>
        <v>Bảy</v>
      </c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42">
        <v>13341.0</v>
      </c>
      <c r="B60" s="42" t="s">
        <v>90</v>
      </c>
      <c r="C60" s="42" t="s">
        <v>67</v>
      </c>
      <c r="D60" s="43">
        <v>46243.0</v>
      </c>
      <c r="E60" s="42" t="s">
        <v>107</v>
      </c>
      <c r="F60" s="44">
        <f>IFERROR(__xludf.DUMMYFUNCTION("MIN(ARRAYFORMULA(TIMEVALUE(SPLIT(E60,"" ""))))"),0.32569444444444445)</f>
        <v>0.3256944444</v>
      </c>
      <c r="G60" s="44">
        <f>IFERROR(__xludf.DUMMYFUNCTION("MAX(ARRAYFORMULA(TIMEVALUE(SPLIT(E60,"" ""))))"),0.75)</f>
        <v>0.75</v>
      </c>
      <c r="H60" s="45"/>
      <c r="I60" s="45"/>
      <c r="J60" s="46">
        <f t="shared" si="1"/>
        <v>2</v>
      </c>
      <c r="K60" s="27"/>
      <c r="L60" s="38"/>
      <c r="M60" s="38">
        <f t="shared" si="2"/>
        <v>1</v>
      </c>
      <c r="N60" s="47"/>
      <c r="O60" s="48" t="str">
        <f t="shared" si="6"/>
        <v>CN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42">
        <v>13341.0</v>
      </c>
      <c r="B61" s="42" t="s">
        <v>90</v>
      </c>
      <c r="C61" s="42" t="s">
        <v>67</v>
      </c>
      <c r="D61" s="43">
        <v>46244.0</v>
      </c>
      <c r="E61" s="42" t="s">
        <v>108</v>
      </c>
      <c r="F61" s="44">
        <f>IFERROR(__xludf.DUMMYFUNCTION("MIN(ARRAYFORMULA(TIMEVALUE(SPLIT(E61,"" ""))))"),0.32083333333333336)</f>
        <v>0.3208333333</v>
      </c>
      <c r="G61" s="44">
        <f>IFERROR(__xludf.DUMMYFUNCTION("MAX(ARRAYFORMULA(TIMEVALUE(SPLIT(E61,"" ""))))"),0.8118055555555556)</f>
        <v>0.8118055556</v>
      </c>
      <c r="H61" s="45"/>
      <c r="I61" s="45"/>
      <c r="J61" s="46">
        <f t="shared" si="1"/>
        <v>3</v>
      </c>
      <c r="K61" s="27"/>
      <c r="L61" s="38"/>
      <c r="M61" s="38" t="str">
        <f t="shared" si="2"/>
        <v/>
      </c>
      <c r="N61" s="47"/>
      <c r="O61" s="48" t="str">
        <f t="shared" si="6"/>
        <v>Hai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42">
        <v>13341.0</v>
      </c>
      <c r="B62" s="42" t="s">
        <v>90</v>
      </c>
      <c r="C62" s="42" t="s">
        <v>67</v>
      </c>
      <c r="D62" s="43">
        <v>46248.0</v>
      </c>
      <c r="E62" s="42" t="s">
        <v>109</v>
      </c>
      <c r="F62" s="44">
        <f>IFERROR(__xludf.DUMMYFUNCTION("MIN(ARRAYFORMULA(TIMEVALUE(SPLIT(E62,"" ""))))"),0.3277777777777778)</f>
        <v>0.3277777778</v>
      </c>
      <c r="G62" s="44">
        <f>IFERROR(__xludf.DUMMYFUNCTION("MAX(ARRAYFORMULA(TIMEVALUE(SPLIT(E62,"" ""))))"),0.8125)</f>
        <v>0.8125</v>
      </c>
      <c r="H62" s="45"/>
      <c r="I62" s="45"/>
      <c r="J62" s="46">
        <f t="shared" si="1"/>
        <v>3</v>
      </c>
      <c r="K62" s="27"/>
      <c r="L62" s="38"/>
      <c r="M62" s="38" t="str">
        <f t="shared" si="2"/>
        <v/>
      </c>
      <c r="N62" s="47"/>
      <c r="O62" s="48" t="str">
        <f t="shared" si="6"/>
        <v>Sáu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42">
        <v>13341.0</v>
      </c>
      <c r="B63" s="42" t="s">
        <v>90</v>
      </c>
      <c r="C63" s="42" t="s">
        <v>67</v>
      </c>
      <c r="D63" s="43">
        <v>46249.0</v>
      </c>
      <c r="E63" s="42" t="s">
        <v>101</v>
      </c>
      <c r="F63" s="44">
        <f>IFERROR(__xludf.DUMMYFUNCTION("MIN(ARRAYFORMULA(TIMEVALUE(SPLIT(E63,"" ""))))"),0.3263888888888889)</f>
        <v>0.3263888889</v>
      </c>
      <c r="G63" s="44">
        <f>IFERROR(__xludf.DUMMYFUNCTION("MAX(ARRAYFORMULA(TIMEVALUE(SPLIT(E63,"" ""))))"),0.8125)</f>
        <v>0.8125</v>
      </c>
      <c r="H63" s="45"/>
      <c r="I63" s="45"/>
      <c r="J63" s="46">
        <f t="shared" si="1"/>
        <v>3</v>
      </c>
      <c r="K63" s="27"/>
      <c r="L63" s="38"/>
      <c r="M63" s="38" t="str">
        <f t="shared" si="2"/>
        <v/>
      </c>
      <c r="N63" s="47"/>
      <c r="O63" s="48" t="str">
        <f t="shared" si="6"/>
        <v>Bảy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42">
        <v>13341.0</v>
      </c>
      <c r="B64" s="42" t="s">
        <v>90</v>
      </c>
      <c r="C64" s="42" t="s">
        <v>67</v>
      </c>
      <c r="D64" s="43">
        <v>46250.0</v>
      </c>
      <c r="E64" s="42" t="s">
        <v>110</v>
      </c>
      <c r="F64" s="44">
        <f>IFERROR(__xludf.DUMMYFUNCTION("MIN(ARRAYFORMULA(TIMEVALUE(SPLIT(E64,"" ""))))"),0.32430555555555557)</f>
        <v>0.3243055556</v>
      </c>
      <c r="G64" s="44">
        <f>IFERROR(__xludf.DUMMYFUNCTION("MAX(ARRAYFORMULA(TIMEVALUE(SPLIT(E64,"" ""))))"),0.7506944444444444)</f>
        <v>0.7506944444</v>
      </c>
      <c r="H64" s="45"/>
      <c r="I64" s="45"/>
      <c r="J64" s="46">
        <f t="shared" si="1"/>
        <v>2</v>
      </c>
      <c r="K64" s="27"/>
      <c r="L64" s="38"/>
      <c r="M64" s="38">
        <f t="shared" si="2"/>
        <v>1</v>
      </c>
      <c r="N64" s="47"/>
      <c r="O64" s="48" t="str">
        <f t="shared" si="6"/>
        <v>CN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42">
        <v>13341.0</v>
      </c>
      <c r="B65" s="42" t="s">
        <v>90</v>
      </c>
      <c r="C65" s="42" t="s">
        <v>67</v>
      </c>
      <c r="D65" s="43">
        <v>46251.0</v>
      </c>
      <c r="E65" s="42" t="s">
        <v>111</v>
      </c>
      <c r="F65" s="44">
        <f>IFERROR(__xludf.DUMMYFUNCTION("MIN(ARRAYFORMULA(TIMEVALUE(SPLIT(E65,"" ""))))"),0.3263888888888889)</f>
        <v>0.3263888889</v>
      </c>
      <c r="G65" s="44">
        <f>IFERROR(__xludf.DUMMYFUNCTION("MAX(ARRAYFORMULA(TIMEVALUE(SPLIT(E65,"" ""))))"),0.8159722222222222)</f>
        <v>0.8159722222</v>
      </c>
      <c r="H65" s="45"/>
      <c r="I65" s="45"/>
      <c r="J65" s="46">
        <f t="shared" si="1"/>
        <v>3</v>
      </c>
      <c r="K65" s="27"/>
      <c r="L65" s="51">
        <v>3.0</v>
      </c>
      <c r="M65" s="38" t="str">
        <f t="shared" si="2"/>
        <v/>
      </c>
      <c r="N65" s="47" t="s">
        <v>112</v>
      </c>
      <c r="O65" s="48" t="str">
        <f t="shared" si="6"/>
        <v>Hai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42">
        <v>13341.0</v>
      </c>
      <c r="B66" s="42" t="s">
        <v>90</v>
      </c>
      <c r="C66" s="42" t="s">
        <v>67</v>
      </c>
      <c r="D66" s="43">
        <v>46253.0</v>
      </c>
      <c r="E66" s="42" t="s">
        <v>113</v>
      </c>
      <c r="F66" s="44">
        <f>IFERROR(__xludf.DUMMYFUNCTION("MIN(ARRAYFORMULA(TIMEVALUE(SPLIT(E66,"" ""))))"),0.32569444444444445)</f>
        <v>0.3256944444</v>
      </c>
      <c r="G66" s="44">
        <f>IFERROR(__xludf.DUMMYFUNCTION("MAX(ARRAYFORMULA(TIMEVALUE(SPLIT(E66,"" ""))))"),0.8131944444444444)</f>
        <v>0.8131944444</v>
      </c>
      <c r="H66" s="45"/>
      <c r="I66" s="45"/>
      <c r="J66" s="46">
        <f t="shared" si="1"/>
        <v>3</v>
      </c>
      <c r="K66" s="27"/>
      <c r="L66" s="38"/>
      <c r="M66" s="38" t="str">
        <f t="shared" si="2"/>
        <v/>
      </c>
      <c r="N66" s="47"/>
      <c r="O66" s="48" t="str">
        <f t="shared" si="6"/>
        <v>Tư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42">
        <v>13341.0</v>
      </c>
      <c r="B67" s="42" t="s">
        <v>90</v>
      </c>
      <c r="C67" s="42" t="s">
        <v>67</v>
      </c>
      <c r="D67" s="43">
        <v>46255.0</v>
      </c>
      <c r="E67" s="42" t="s">
        <v>114</v>
      </c>
      <c r="F67" s="44">
        <f>IFERROR(__xludf.DUMMYFUNCTION("MIN(ARRAYFORMULA(TIMEVALUE(SPLIT(E67,"" ""))))"),0.32916666666666666)</f>
        <v>0.3291666667</v>
      </c>
      <c r="G67" s="44">
        <f>IFERROR(__xludf.DUMMYFUNCTION("MAX(ARRAYFORMULA(TIMEVALUE(SPLIT(E67,"" ""))))"),0.8125)</f>
        <v>0.8125</v>
      </c>
      <c r="H67" s="45"/>
      <c r="I67" s="45"/>
      <c r="J67" s="46">
        <f t="shared" si="1"/>
        <v>3</v>
      </c>
      <c r="K67" s="27"/>
      <c r="L67" s="38"/>
      <c r="M67" s="38" t="str">
        <f t="shared" si="2"/>
        <v/>
      </c>
      <c r="N67" s="47"/>
      <c r="O67" s="48" t="str">
        <f t="shared" si="6"/>
        <v>Sáu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42">
        <v>13341.0</v>
      </c>
      <c r="B68" s="42" t="s">
        <v>90</v>
      </c>
      <c r="C68" s="42" t="s">
        <v>67</v>
      </c>
      <c r="D68" s="43">
        <v>46258.0</v>
      </c>
      <c r="E68" s="42" t="s">
        <v>115</v>
      </c>
      <c r="F68" s="44">
        <f>IFERROR(__xludf.DUMMYFUNCTION("MIN(ARRAYFORMULA(TIMEVALUE(SPLIT(E68,"" ""))))"),0.3263888888888889)</f>
        <v>0.3263888889</v>
      </c>
      <c r="G68" s="44">
        <f>IFERROR(__xludf.DUMMYFUNCTION("MAX(ARRAYFORMULA(TIMEVALUE(SPLIT(E68,"" ""))))"),0.8145833333333333)</f>
        <v>0.8145833333</v>
      </c>
      <c r="H68" s="45"/>
      <c r="I68" s="45"/>
      <c r="J68" s="46">
        <f t="shared" si="1"/>
        <v>3</v>
      </c>
      <c r="K68" s="27"/>
      <c r="L68" s="38"/>
      <c r="M68" s="38" t="str">
        <f t="shared" si="2"/>
        <v/>
      </c>
      <c r="N68" s="47"/>
      <c r="O68" s="48" t="str">
        <f t="shared" si="6"/>
        <v>Hai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42">
        <v>13341.0</v>
      </c>
      <c r="B69" s="42" t="s">
        <v>90</v>
      </c>
      <c r="C69" s="42" t="s">
        <v>67</v>
      </c>
      <c r="D69" s="43">
        <v>46259.0</v>
      </c>
      <c r="E69" s="42" t="s">
        <v>101</v>
      </c>
      <c r="F69" s="44">
        <f>IFERROR(__xludf.DUMMYFUNCTION("MIN(ARRAYFORMULA(TIMEVALUE(SPLIT(E69,"" ""))))"),0.3263888888888889)</f>
        <v>0.3263888889</v>
      </c>
      <c r="G69" s="44">
        <f>IFERROR(__xludf.DUMMYFUNCTION("MAX(ARRAYFORMULA(TIMEVALUE(SPLIT(E69,"" ""))))"),0.8125)</f>
        <v>0.8125</v>
      </c>
      <c r="H69" s="45"/>
      <c r="I69" s="45"/>
      <c r="J69" s="46">
        <f t="shared" si="1"/>
        <v>3</v>
      </c>
      <c r="K69" s="27"/>
      <c r="L69" s="38"/>
      <c r="M69" s="38" t="str">
        <f t="shared" si="2"/>
        <v/>
      </c>
      <c r="N69" s="47"/>
      <c r="O69" s="48" t="str">
        <f t="shared" si="6"/>
        <v>Ba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42">
        <v>13341.0</v>
      </c>
      <c r="B70" s="42" t="s">
        <v>90</v>
      </c>
      <c r="C70" s="42" t="s">
        <v>67</v>
      </c>
      <c r="D70" s="43">
        <v>46260.0</v>
      </c>
      <c r="E70" s="42" t="s">
        <v>116</v>
      </c>
      <c r="F70" s="44">
        <f>IFERROR(__xludf.DUMMYFUNCTION("MIN(ARRAYFORMULA(TIMEVALUE(SPLIT(E70,"" ""))))"),0.32708333333333334)</f>
        <v>0.3270833333</v>
      </c>
      <c r="G70" s="44">
        <f>IFERROR(__xludf.DUMMYFUNCTION("MAX(ARRAYFORMULA(TIMEVALUE(SPLIT(E70,"" ""))))"),0.8125)</f>
        <v>0.8125</v>
      </c>
      <c r="H70" s="45"/>
      <c r="I70" s="45"/>
      <c r="J70" s="46">
        <f t="shared" si="1"/>
        <v>3</v>
      </c>
      <c r="K70" s="27"/>
      <c r="L70" s="38"/>
      <c r="M70" s="38" t="str">
        <f t="shared" si="2"/>
        <v/>
      </c>
      <c r="N70" s="47"/>
      <c r="O70" s="48" t="str">
        <f t="shared" si="6"/>
        <v>Tư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42">
        <v>13341.0</v>
      </c>
      <c r="B71" s="42" t="s">
        <v>90</v>
      </c>
      <c r="C71" s="42" t="s">
        <v>67</v>
      </c>
      <c r="D71" s="43">
        <v>46262.0</v>
      </c>
      <c r="E71" s="42" t="s">
        <v>101</v>
      </c>
      <c r="F71" s="44">
        <f>IFERROR(__xludf.DUMMYFUNCTION("MIN(ARRAYFORMULA(TIMEVALUE(SPLIT(E71,"" ""))))"),0.3263888888888889)</f>
        <v>0.3263888889</v>
      </c>
      <c r="G71" s="44">
        <f>IFERROR(__xludf.DUMMYFUNCTION("MAX(ARRAYFORMULA(TIMEVALUE(SPLIT(E71,"" ""))))"),0.8125)</f>
        <v>0.8125</v>
      </c>
      <c r="H71" s="45"/>
      <c r="I71" s="45"/>
      <c r="J71" s="46">
        <f t="shared" si="1"/>
        <v>3</v>
      </c>
      <c r="K71" s="27"/>
      <c r="L71" s="38"/>
      <c r="M71" s="38" t="str">
        <f t="shared" si="2"/>
        <v/>
      </c>
      <c r="N71" s="47"/>
      <c r="O71" s="48" t="str">
        <f t="shared" si="6"/>
        <v>Sáu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42">
        <v>13341.0</v>
      </c>
      <c r="B72" s="42" t="s">
        <v>90</v>
      </c>
      <c r="C72" s="42" t="s">
        <v>67</v>
      </c>
      <c r="D72" s="43">
        <v>46263.0</v>
      </c>
      <c r="E72" s="42" t="s">
        <v>99</v>
      </c>
      <c r="F72" s="44">
        <f>IFERROR(__xludf.DUMMYFUNCTION("MIN(ARRAYFORMULA(TIMEVALUE(SPLIT(E72,"" ""))))"),0.3229166666666667)</f>
        <v>0.3229166667</v>
      </c>
      <c r="G72" s="44">
        <f>IFERROR(__xludf.DUMMYFUNCTION("MAX(ARRAYFORMULA(TIMEVALUE(SPLIT(E72,"" ""))))"),0.8125)</f>
        <v>0.8125</v>
      </c>
      <c r="H72" s="45"/>
      <c r="I72" s="45"/>
      <c r="J72" s="46">
        <f t="shared" si="1"/>
        <v>3</v>
      </c>
      <c r="K72" s="27"/>
      <c r="L72" s="38"/>
      <c r="M72" s="38" t="str">
        <f t="shared" si="2"/>
        <v/>
      </c>
      <c r="N72" s="47"/>
      <c r="O72" s="48" t="str">
        <f t="shared" si="6"/>
        <v>Bảy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42">
        <v>13341.0</v>
      </c>
      <c r="B73" s="42" t="s">
        <v>90</v>
      </c>
      <c r="C73" s="42" t="s">
        <v>67</v>
      </c>
      <c r="D73" s="43">
        <v>46264.0</v>
      </c>
      <c r="E73" s="42" t="s">
        <v>117</v>
      </c>
      <c r="F73" s="44">
        <f>IFERROR(__xludf.DUMMYFUNCTION("MIN(ARRAYFORMULA(TIMEVALUE(SPLIT(E73,"" ""))))"),0.32916666666666666)</f>
        <v>0.3291666667</v>
      </c>
      <c r="G73" s="44">
        <f>IFERROR(__xludf.DUMMYFUNCTION("MAX(ARRAYFORMULA(TIMEVALUE(SPLIT(E73,"" ""))))"),0.75)</f>
        <v>0.75</v>
      </c>
      <c r="H73" s="45"/>
      <c r="I73" s="45"/>
      <c r="J73" s="46">
        <f t="shared" si="1"/>
        <v>2</v>
      </c>
      <c r="K73" s="27"/>
      <c r="L73" s="38"/>
      <c r="M73" s="38">
        <f t="shared" si="2"/>
        <v>1</v>
      </c>
      <c r="N73" s="47"/>
      <c r="O73" s="48" t="str">
        <f t="shared" si="6"/>
        <v>CN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42">
        <v>13341.0</v>
      </c>
      <c r="B74" s="42" t="s">
        <v>90</v>
      </c>
      <c r="C74" s="42" t="s">
        <v>67</v>
      </c>
      <c r="D74" s="43">
        <v>46265.0</v>
      </c>
      <c r="E74" s="42" t="s">
        <v>118</v>
      </c>
      <c r="F74" s="44">
        <f>IFERROR(__xludf.DUMMYFUNCTION("MIN(ARRAYFORMULA(TIMEVALUE(SPLIT(E74,"" ""))))"),0.3215277777777778)</f>
        <v>0.3215277778</v>
      </c>
      <c r="G74" s="44">
        <f>IFERROR(__xludf.DUMMYFUNCTION("MAX(ARRAYFORMULA(TIMEVALUE(SPLIT(E74,"" ""))))"),0.8125)</f>
        <v>0.8125</v>
      </c>
      <c r="H74" s="45"/>
      <c r="I74" s="45"/>
      <c r="J74" s="46">
        <f t="shared" si="1"/>
        <v>3</v>
      </c>
      <c r="K74" s="27"/>
      <c r="L74" s="38"/>
      <c r="M74" s="38" t="str">
        <f t="shared" si="2"/>
        <v/>
      </c>
      <c r="N74" s="47"/>
      <c r="O74" s="48" t="str">
        <f t="shared" si="6"/>
        <v>Hai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42">
        <v>12643.0</v>
      </c>
      <c r="B75" s="42" t="s">
        <v>49</v>
      </c>
      <c r="C75" s="42" t="s">
        <v>45</v>
      </c>
      <c r="D75" s="43">
        <v>46235.0</v>
      </c>
      <c r="E75" s="42" t="s">
        <v>119</v>
      </c>
      <c r="F75" s="44">
        <f>IFERROR(__xludf.DUMMYFUNCTION("MIN(ARRAYFORMULA(TIMEVALUE(SPLIT(E75,"" ""))))"),0.33125)</f>
        <v>0.33125</v>
      </c>
      <c r="G75" s="44">
        <f>IFERROR(__xludf.DUMMYFUNCTION("MAX(ARRAYFORMULA(TIMEVALUE(SPLIT(E75,"" ""))))"),0.7298611111111111)</f>
        <v>0.7298611111</v>
      </c>
      <c r="H75" s="45"/>
      <c r="I75" s="45"/>
      <c r="J75" s="46">
        <f t="shared" si="1"/>
        <v>2</v>
      </c>
      <c r="K75" s="27"/>
      <c r="L75" s="38"/>
      <c r="M75" s="38" t="str">
        <f t="shared" si="2"/>
        <v/>
      </c>
      <c r="N75" s="47"/>
      <c r="O75" s="48" t="str">
        <f t="shared" si="6"/>
        <v>Bảy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42">
        <v>12643.0</v>
      </c>
      <c r="B76" s="42" t="s">
        <v>49</v>
      </c>
      <c r="C76" s="42" t="s">
        <v>45</v>
      </c>
      <c r="D76" s="43">
        <v>46236.0</v>
      </c>
      <c r="E76" s="42" t="s">
        <v>120</v>
      </c>
      <c r="F76" s="44">
        <f>IFERROR(__xludf.DUMMYFUNCTION("MIN(ARRAYFORMULA(TIMEVALUE(SPLIT(E76,"" ""))))"),0.3284722222222222)</f>
        <v>0.3284722222</v>
      </c>
      <c r="G76" s="44">
        <f>IFERROR(__xludf.DUMMYFUNCTION("MAX(ARRAYFORMULA(TIMEVALUE(SPLIT(E76,"" ""))))"),0.7590277777777777)</f>
        <v>0.7590277778</v>
      </c>
      <c r="H76" s="45"/>
      <c r="I76" s="45"/>
      <c r="J76" s="46">
        <f t="shared" si="1"/>
        <v>2</v>
      </c>
      <c r="K76" s="51">
        <v>15.0</v>
      </c>
      <c r="L76" s="38"/>
      <c r="M76" s="38">
        <f t="shared" si="2"/>
        <v>1</v>
      </c>
      <c r="N76" s="47"/>
      <c r="O76" s="48" t="str">
        <f t="shared" si="6"/>
        <v>CN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42">
        <v>12643.0</v>
      </c>
      <c r="B77" s="42" t="s">
        <v>49</v>
      </c>
      <c r="C77" s="42" t="s">
        <v>45</v>
      </c>
      <c r="D77" s="43">
        <v>46237.0</v>
      </c>
      <c r="E77" s="42" t="s">
        <v>121</v>
      </c>
      <c r="F77" s="44">
        <f>IFERROR(__xludf.DUMMYFUNCTION("MIN(ARRAYFORMULA(TIMEVALUE(SPLIT(E77,"" ""))))"),0.32708333333333334)</f>
        <v>0.3270833333</v>
      </c>
      <c r="G77" s="44">
        <f>IFERROR(__xludf.DUMMYFUNCTION("MAX(ARRAYFORMULA(TIMEVALUE(SPLIT(E77,"" ""))))"),0.7340277777777777)</f>
        <v>0.7340277778</v>
      </c>
      <c r="H77" s="45"/>
      <c r="I77" s="45"/>
      <c r="J77" s="46">
        <f t="shared" si="1"/>
        <v>2</v>
      </c>
      <c r="K77" s="27"/>
      <c r="L77" s="38"/>
      <c r="M77" s="38" t="str">
        <f t="shared" si="2"/>
        <v/>
      </c>
      <c r="N77" s="47"/>
      <c r="O77" s="48" t="str">
        <f t="shared" si="6"/>
        <v>Hai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42">
        <v>12643.0</v>
      </c>
      <c r="B78" s="42" t="s">
        <v>49</v>
      </c>
      <c r="C78" s="42" t="s">
        <v>45</v>
      </c>
      <c r="D78" s="43">
        <v>46238.0</v>
      </c>
      <c r="E78" s="42" t="s">
        <v>122</v>
      </c>
      <c r="F78" s="44">
        <f>IFERROR(__xludf.DUMMYFUNCTION("MIN(ARRAYFORMULA(TIMEVALUE(SPLIT(E78,"" ""))))"),0.33402777777777776)</f>
        <v>0.3340277778</v>
      </c>
      <c r="G78" s="44">
        <f>IFERROR(__xludf.DUMMYFUNCTION("MAX(ARRAYFORMULA(TIMEVALUE(SPLIT(E78,"" ""))))"),0.8131944444444444)</f>
        <v>0.8131944444</v>
      </c>
      <c r="H78" s="42">
        <v>1.0</v>
      </c>
      <c r="I78" s="45"/>
      <c r="J78" s="46">
        <f t="shared" si="1"/>
        <v>3</v>
      </c>
      <c r="K78" s="27"/>
      <c r="L78" s="38"/>
      <c r="M78" s="38" t="str">
        <f t="shared" si="2"/>
        <v/>
      </c>
      <c r="N78" s="47"/>
      <c r="O78" s="48" t="str">
        <f t="shared" si="6"/>
        <v>Ba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42">
        <v>12643.0</v>
      </c>
      <c r="B79" s="42" t="s">
        <v>49</v>
      </c>
      <c r="C79" s="42" t="s">
        <v>45</v>
      </c>
      <c r="D79" s="43">
        <v>46239.0</v>
      </c>
      <c r="E79" s="42" t="s">
        <v>123</v>
      </c>
      <c r="F79" s="44">
        <f>IFERROR(__xludf.DUMMYFUNCTION("MIN(ARRAYFORMULA(TIMEVALUE(SPLIT(E79,"" ""))))"),0.3326388888888889)</f>
        <v>0.3326388889</v>
      </c>
      <c r="G79" s="44">
        <f>IFERROR(__xludf.DUMMYFUNCTION("MAX(ARRAYFORMULA(TIMEVALUE(SPLIT(E79,"" ""))))"),0.7305555555555555)</f>
        <v>0.7305555556</v>
      </c>
      <c r="H79" s="45"/>
      <c r="I79" s="45"/>
      <c r="J79" s="46">
        <f t="shared" si="1"/>
        <v>2</v>
      </c>
      <c r="K79" s="27"/>
      <c r="L79" s="38"/>
      <c r="M79" s="38" t="str">
        <f t="shared" si="2"/>
        <v/>
      </c>
      <c r="N79" s="47"/>
      <c r="O79" s="48" t="str">
        <f t="shared" si="6"/>
        <v>Tư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42">
        <v>12643.0</v>
      </c>
      <c r="B80" s="42" t="s">
        <v>49</v>
      </c>
      <c r="C80" s="42" t="s">
        <v>45</v>
      </c>
      <c r="D80" s="43">
        <v>46240.0</v>
      </c>
      <c r="E80" s="42" t="s">
        <v>124</v>
      </c>
      <c r="F80" s="44">
        <f>IFERROR(__xludf.DUMMYFUNCTION("MIN(ARRAYFORMULA(TIMEVALUE(SPLIT(E80,"" ""))))"),0.32708333333333334)</f>
        <v>0.3270833333</v>
      </c>
      <c r="G80" s="44">
        <f>IFERROR(__xludf.DUMMYFUNCTION("MAX(ARRAYFORMULA(TIMEVALUE(SPLIT(E80,"" ""))))"),0.8131944444444444)</f>
        <v>0.8131944444</v>
      </c>
      <c r="H80" s="45"/>
      <c r="I80" s="45"/>
      <c r="J80" s="46">
        <f t="shared" si="1"/>
        <v>3</v>
      </c>
      <c r="K80" s="27"/>
      <c r="L80" s="38"/>
      <c r="M80" s="38" t="str">
        <f t="shared" si="2"/>
        <v/>
      </c>
      <c r="N80" s="47"/>
      <c r="O80" s="48" t="str">
        <f t="shared" si="6"/>
        <v>Năm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42">
        <v>12643.0</v>
      </c>
      <c r="B81" s="42" t="s">
        <v>49</v>
      </c>
      <c r="C81" s="42" t="s">
        <v>45</v>
      </c>
      <c r="D81" s="43">
        <v>46241.0</v>
      </c>
      <c r="E81" s="42" t="s">
        <v>125</v>
      </c>
      <c r="F81" s="44">
        <f>IFERROR(__xludf.DUMMYFUNCTION("MIN(ARRAYFORMULA(TIMEVALUE(SPLIT(E81,"" ""))))"),0.33125)</f>
        <v>0.33125</v>
      </c>
      <c r="G81" s="44">
        <f>IFERROR(__xludf.DUMMYFUNCTION("MAX(ARRAYFORMULA(TIMEVALUE(SPLIT(E81,"" ""))))"),0.7319444444444444)</f>
        <v>0.7319444444</v>
      </c>
      <c r="H81" s="45"/>
      <c r="I81" s="45"/>
      <c r="J81" s="46">
        <f t="shared" si="1"/>
        <v>2</v>
      </c>
      <c r="K81" s="27"/>
      <c r="L81" s="38"/>
      <c r="M81" s="38" t="str">
        <f t="shared" si="2"/>
        <v/>
      </c>
      <c r="N81" s="47"/>
      <c r="O81" s="48" t="str">
        <f t="shared" si="6"/>
        <v>Sáu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42">
        <v>12643.0</v>
      </c>
      <c r="B82" s="42" t="s">
        <v>49</v>
      </c>
      <c r="C82" s="42" t="s">
        <v>45</v>
      </c>
      <c r="D82" s="43">
        <v>46242.0</v>
      </c>
      <c r="E82" s="42" t="s">
        <v>79</v>
      </c>
      <c r="F82" s="44">
        <f>IFERROR(__xludf.DUMMYFUNCTION("MIN(ARRAYFORMULA(TIMEVALUE(SPLIT(E82,"" ""))))"),0.3326388888888889)</f>
        <v>0.3326388889</v>
      </c>
      <c r="G82" s="44">
        <f>IFERROR(__xludf.DUMMYFUNCTION("MAX(ARRAYFORMULA(TIMEVALUE(SPLIT(E82,"" ""))))"),0.8125)</f>
        <v>0.8125</v>
      </c>
      <c r="H82" s="45"/>
      <c r="I82" s="45"/>
      <c r="J82" s="46">
        <f t="shared" si="1"/>
        <v>3</v>
      </c>
      <c r="K82" s="27"/>
      <c r="L82" s="38"/>
      <c r="M82" s="38" t="str">
        <f t="shared" si="2"/>
        <v/>
      </c>
      <c r="N82" s="47"/>
      <c r="O82" s="48" t="str">
        <f t="shared" si="6"/>
        <v>Bảy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42">
        <v>12643.0</v>
      </c>
      <c r="B83" s="42" t="s">
        <v>49</v>
      </c>
      <c r="C83" s="42" t="s">
        <v>45</v>
      </c>
      <c r="D83" s="43">
        <v>46243.0</v>
      </c>
      <c r="E83" s="42" t="s">
        <v>126</v>
      </c>
      <c r="F83" s="44">
        <f>IFERROR(__xludf.DUMMYFUNCTION("MIN(ARRAYFORMULA(TIMEVALUE(SPLIT(E83,"" ""))))"),0.33125)</f>
        <v>0.33125</v>
      </c>
      <c r="G83" s="44">
        <f>IFERROR(__xludf.DUMMYFUNCTION("MAX(ARRAYFORMULA(TIMEVALUE(SPLIT(E83,"" ""))))"),0.5895833333333333)</f>
        <v>0.5895833333</v>
      </c>
      <c r="H83" s="45"/>
      <c r="I83" s="45"/>
      <c r="J83" s="46">
        <f t="shared" si="1"/>
        <v>1</v>
      </c>
      <c r="K83" s="27"/>
      <c r="L83" s="38"/>
      <c r="M83" s="38" t="str">
        <f t="shared" si="2"/>
        <v/>
      </c>
      <c r="N83" s="47"/>
      <c r="O83" s="48" t="str">
        <f t="shared" si="6"/>
        <v>CN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42">
        <v>12643.0</v>
      </c>
      <c r="B84" s="42" t="s">
        <v>49</v>
      </c>
      <c r="C84" s="42" t="s">
        <v>45</v>
      </c>
      <c r="D84" s="43">
        <v>46244.0</v>
      </c>
      <c r="E84" s="42" t="s">
        <v>127</v>
      </c>
      <c r="F84" s="44">
        <f>IFERROR(__xludf.DUMMYFUNCTION("MIN(ARRAYFORMULA(TIMEVALUE(SPLIT(E84,"" ""))))"),0.3298611111111111)</f>
        <v>0.3298611111</v>
      </c>
      <c r="G84" s="44">
        <f>IFERROR(__xludf.DUMMYFUNCTION("MAX(ARRAYFORMULA(TIMEVALUE(SPLIT(E84,"" ""))))"),0.8138888888888889)</f>
        <v>0.8138888889</v>
      </c>
      <c r="H84" s="45"/>
      <c r="I84" s="45"/>
      <c r="J84" s="46">
        <f t="shared" si="1"/>
        <v>3</v>
      </c>
      <c r="K84" s="27"/>
      <c r="L84" s="38"/>
      <c r="M84" s="38" t="str">
        <f t="shared" si="2"/>
        <v/>
      </c>
      <c r="N84" s="47"/>
      <c r="O84" s="48" t="str">
        <f t="shared" si="6"/>
        <v>Hai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42">
        <v>12643.0</v>
      </c>
      <c r="B85" s="42" t="s">
        <v>49</v>
      </c>
      <c r="C85" s="42" t="s">
        <v>45</v>
      </c>
      <c r="D85" s="43">
        <v>46248.0</v>
      </c>
      <c r="E85" s="42" t="s">
        <v>99</v>
      </c>
      <c r="F85" s="44">
        <f>IFERROR(__xludf.DUMMYFUNCTION("MIN(ARRAYFORMULA(TIMEVALUE(SPLIT(E85,"" ""))))"),0.3229166666666667)</f>
        <v>0.3229166667</v>
      </c>
      <c r="G85" s="44">
        <f>IFERROR(__xludf.DUMMYFUNCTION("MAX(ARRAYFORMULA(TIMEVALUE(SPLIT(E85,"" ""))))"),0.8125)</f>
        <v>0.8125</v>
      </c>
      <c r="H85" s="45"/>
      <c r="I85" s="45"/>
      <c r="J85" s="46">
        <f t="shared" si="1"/>
        <v>3</v>
      </c>
      <c r="K85" s="27"/>
      <c r="L85" s="38"/>
      <c r="M85" s="38" t="str">
        <f t="shared" si="2"/>
        <v/>
      </c>
      <c r="N85" s="47"/>
      <c r="O85" s="48" t="str">
        <f t="shared" si="6"/>
        <v>Sáu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42">
        <v>12643.0</v>
      </c>
      <c r="B86" s="42" t="s">
        <v>49</v>
      </c>
      <c r="C86" s="42" t="s">
        <v>45</v>
      </c>
      <c r="D86" s="43">
        <v>46249.0</v>
      </c>
      <c r="E86" s="42" t="s">
        <v>109</v>
      </c>
      <c r="F86" s="44">
        <f>IFERROR(__xludf.DUMMYFUNCTION("MIN(ARRAYFORMULA(TIMEVALUE(SPLIT(E86,"" ""))))"),0.3277777777777778)</f>
        <v>0.3277777778</v>
      </c>
      <c r="G86" s="44">
        <f>IFERROR(__xludf.DUMMYFUNCTION("MAX(ARRAYFORMULA(TIMEVALUE(SPLIT(E86,"" ""))))"),0.8125)</f>
        <v>0.8125</v>
      </c>
      <c r="H86" s="45"/>
      <c r="I86" s="45"/>
      <c r="J86" s="46">
        <f t="shared" si="1"/>
        <v>3</v>
      </c>
      <c r="K86" s="27"/>
      <c r="L86" s="38"/>
      <c r="M86" s="38" t="str">
        <f t="shared" si="2"/>
        <v/>
      </c>
      <c r="N86" s="47"/>
      <c r="O86" s="48" t="str">
        <f t="shared" si="6"/>
        <v>Bảy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42">
        <v>12643.0</v>
      </c>
      <c r="B87" s="42" t="s">
        <v>49</v>
      </c>
      <c r="C87" s="42" t="s">
        <v>45</v>
      </c>
      <c r="D87" s="43">
        <v>46251.0</v>
      </c>
      <c r="E87" s="53">
        <v>0.7326388888888888</v>
      </c>
      <c r="F87" s="44">
        <f>IFERROR(__xludf.DUMMYFUNCTION("MIN(ARRAYFORMULA(TIMEVALUE(SPLIT(E87,"" ""))))"),0.7326388888888888)</f>
        <v>0.7326388889</v>
      </c>
      <c r="G87" s="44">
        <f>IFERROR(__xludf.DUMMYFUNCTION("MAX(ARRAYFORMULA(TIMEVALUE(SPLIT(E87,"" ""))))"),0.7326388888888888)</f>
        <v>0.7326388889</v>
      </c>
      <c r="H87" s="45"/>
      <c r="I87" s="45"/>
      <c r="J87" s="55">
        <v>2.0</v>
      </c>
      <c r="K87" s="27"/>
      <c r="L87" s="38"/>
      <c r="M87" s="38" t="str">
        <f t="shared" si="2"/>
        <v/>
      </c>
      <c r="N87" s="47" t="s">
        <v>128</v>
      </c>
      <c r="O87" s="48" t="str">
        <f t="shared" si="6"/>
        <v>Hai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42">
        <v>12643.0</v>
      </c>
      <c r="B88" s="42" t="s">
        <v>49</v>
      </c>
      <c r="C88" s="42" t="s">
        <v>45</v>
      </c>
      <c r="D88" s="43">
        <v>46252.0</v>
      </c>
      <c r="E88" s="42" t="s">
        <v>125</v>
      </c>
      <c r="F88" s="44">
        <f>IFERROR(__xludf.DUMMYFUNCTION("MIN(ARRAYFORMULA(TIMEVALUE(SPLIT(E88,"" ""))))"),0.33125)</f>
        <v>0.33125</v>
      </c>
      <c r="G88" s="44">
        <f>IFERROR(__xludf.DUMMYFUNCTION("MAX(ARRAYFORMULA(TIMEVALUE(SPLIT(E88,"" ""))))"),0.7319444444444444)</f>
        <v>0.7319444444</v>
      </c>
      <c r="H88" s="45"/>
      <c r="I88" s="45"/>
      <c r="J88" s="46">
        <f>IF(WEEKDAY(D88,2)=7,IF(AND(F88&lt;TIME(8,15,0),G88&gt;=TIME(11,55,0)),1,0)+IF(AND(F88&lt;TIME(13,45,0),G88&gt;=TIME(17,55,0)),1,0),IF(AND(F88&lt;TIME(8,15,0),G88&gt;=TIME(11,55,0)),1,0)+IF(AND(F88&lt;TIME(13,45,0),G88&gt;=TIME(17,25,0)),1,0)+IF(AND(F88&lt;TIME(15,45,0),G88&gt;=TIME(19,25,0)),1,0))</f>
        <v>2</v>
      </c>
      <c r="K88" s="27"/>
      <c r="L88" s="38"/>
      <c r="M88" s="38" t="str">
        <f t="shared" si="2"/>
        <v/>
      </c>
      <c r="N88" s="47"/>
      <c r="O88" s="48" t="str">
        <f t="shared" si="6"/>
        <v>Ba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42">
        <v>12643.0</v>
      </c>
      <c r="B89" s="42" t="s">
        <v>49</v>
      </c>
      <c r="C89" s="42" t="s">
        <v>45</v>
      </c>
      <c r="D89" s="43">
        <v>46253.0</v>
      </c>
      <c r="E89" s="53">
        <v>0.8131944444444444</v>
      </c>
      <c r="F89" s="44">
        <f>IFERROR(__xludf.DUMMYFUNCTION("MIN(ARRAYFORMULA(TIMEVALUE(SPLIT(E89,"" ""))))"),0.8131944444444444)</f>
        <v>0.8131944444</v>
      </c>
      <c r="G89" s="44">
        <f>IFERROR(__xludf.DUMMYFUNCTION("MAX(ARRAYFORMULA(TIMEVALUE(SPLIT(E89,"" ""))))"),0.8131944444444444)</f>
        <v>0.8131944444</v>
      </c>
      <c r="H89" s="45"/>
      <c r="I89" s="45"/>
      <c r="J89" s="55">
        <v>2.0</v>
      </c>
      <c r="K89" s="27"/>
      <c r="L89" s="38"/>
      <c r="M89" s="38" t="str">
        <f t="shared" si="2"/>
        <v/>
      </c>
      <c r="N89" s="47" t="s">
        <v>128</v>
      </c>
      <c r="O89" s="48" t="str">
        <f t="shared" si="6"/>
        <v>Tư</v>
      </c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42">
        <v>12643.0</v>
      </c>
      <c r="B90" s="42" t="s">
        <v>49</v>
      </c>
      <c r="C90" s="42" t="s">
        <v>45</v>
      </c>
      <c r="D90" s="43">
        <v>46254.0</v>
      </c>
      <c r="E90" s="42" t="s">
        <v>129</v>
      </c>
      <c r="F90" s="44">
        <f>IFERROR(__xludf.DUMMYFUNCTION("MIN(ARRAYFORMULA(TIMEVALUE(SPLIT(E90,"" ""))))"),0.3284722222222222)</f>
        <v>0.3284722222</v>
      </c>
      <c r="G90" s="44">
        <f>IFERROR(__xludf.DUMMYFUNCTION("MAX(ARRAYFORMULA(TIMEVALUE(SPLIT(E90,"" ""))))"),0.8131944444444444)</f>
        <v>0.8131944444</v>
      </c>
      <c r="H90" s="45"/>
      <c r="I90" s="45"/>
      <c r="J90" s="46">
        <f t="shared" ref="J90:J108" si="7">IF(WEEKDAY(D90,2)=7,IF(AND(F90&lt;TIME(8,15,0),G90&gt;=TIME(11,55,0)),1,0)+IF(AND(F90&lt;TIME(13,45,0),G90&gt;=TIME(17,55,0)),1,0),IF(AND(F90&lt;TIME(8,15,0),G90&gt;=TIME(11,55,0)),1,0)+IF(AND(F90&lt;TIME(13,45,0),G90&gt;=TIME(17,25,0)),1,0)+IF(AND(F90&lt;TIME(15,45,0),G90&gt;=TIME(19,25,0)),1,0))</f>
        <v>3</v>
      </c>
      <c r="K90" s="27"/>
      <c r="L90" s="38"/>
      <c r="M90" s="38" t="str">
        <f t="shared" si="2"/>
        <v/>
      </c>
      <c r="N90" s="47"/>
      <c r="O90" s="48" t="str">
        <f t="shared" si="6"/>
        <v>Năm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42">
        <v>12643.0</v>
      </c>
      <c r="B91" s="42" t="s">
        <v>49</v>
      </c>
      <c r="C91" s="42" t="s">
        <v>45</v>
      </c>
      <c r="D91" s="43">
        <v>46255.0</v>
      </c>
      <c r="E91" s="42" t="s">
        <v>130</v>
      </c>
      <c r="F91" s="44">
        <f>IFERROR(__xludf.DUMMYFUNCTION("MIN(ARRAYFORMULA(TIMEVALUE(SPLIT(E91,"" ""))))"),0.3326388888888889)</f>
        <v>0.3326388889</v>
      </c>
      <c r="G91" s="44">
        <f>IFERROR(__xludf.DUMMYFUNCTION("MAX(ARRAYFORMULA(TIMEVALUE(SPLIT(E91,"" ""))))"),0.8131944444444444)</f>
        <v>0.8131944444</v>
      </c>
      <c r="H91" s="45"/>
      <c r="I91" s="45"/>
      <c r="J91" s="46">
        <f t="shared" si="7"/>
        <v>3</v>
      </c>
      <c r="K91" s="27"/>
      <c r="L91" s="38"/>
      <c r="M91" s="38" t="str">
        <f t="shared" si="2"/>
        <v/>
      </c>
      <c r="N91" s="47"/>
      <c r="O91" s="48" t="str">
        <f t="shared" si="6"/>
        <v>Sáu</v>
      </c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42">
        <v>12643.0</v>
      </c>
      <c r="B92" s="42" t="s">
        <v>49</v>
      </c>
      <c r="C92" s="42" t="s">
        <v>45</v>
      </c>
      <c r="D92" s="43">
        <v>46256.0</v>
      </c>
      <c r="E92" s="42" t="s">
        <v>130</v>
      </c>
      <c r="F92" s="44">
        <f>IFERROR(__xludf.DUMMYFUNCTION("MIN(ARRAYFORMULA(TIMEVALUE(SPLIT(E92,"" ""))))"),0.3326388888888889)</f>
        <v>0.3326388889</v>
      </c>
      <c r="G92" s="44">
        <f>IFERROR(__xludf.DUMMYFUNCTION("MAX(ARRAYFORMULA(TIMEVALUE(SPLIT(E92,"" ""))))"),0.8131944444444444)</f>
        <v>0.8131944444</v>
      </c>
      <c r="H92" s="45"/>
      <c r="I92" s="45"/>
      <c r="J92" s="46">
        <f t="shared" si="7"/>
        <v>3</v>
      </c>
      <c r="K92" s="27"/>
      <c r="L92" s="38"/>
      <c r="M92" s="38" t="str">
        <f t="shared" si="2"/>
        <v/>
      </c>
      <c r="N92" s="47"/>
      <c r="O92" s="48" t="str">
        <f t="shared" si="6"/>
        <v>Bảy</v>
      </c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42">
        <v>12643.0</v>
      </c>
      <c r="B93" s="42" t="s">
        <v>49</v>
      </c>
      <c r="C93" s="42" t="s">
        <v>45</v>
      </c>
      <c r="D93" s="43">
        <v>46257.0</v>
      </c>
      <c r="E93" s="42" t="s">
        <v>131</v>
      </c>
      <c r="F93" s="44">
        <f>IFERROR(__xludf.DUMMYFUNCTION("MIN(ARRAYFORMULA(TIMEVALUE(SPLIT(E93,"" ""))))"),0.32916666666666666)</f>
        <v>0.3291666667</v>
      </c>
      <c r="G93" s="44">
        <f>IFERROR(__xludf.DUMMYFUNCTION("MAX(ARRAYFORMULA(TIMEVALUE(SPLIT(E93,"" ""))))"),0.5)</f>
        <v>0.5</v>
      </c>
      <c r="H93" s="45"/>
      <c r="I93" s="45"/>
      <c r="J93" s="46">
        <f t="shared" si="7"/>
        <v>1</v>
      </c>
      <c r="K93" s="27"/>
      <c r="L93" s="38"/>
      <c r="M93" s="38" t="str">
        <f t="shared" si="2"/>
        <v/>
      </c>
      <c r="N93" s="47"/>
      <c r="O93" s="48" t="str">
        <f t="shared" si="6"/>
        <v>CN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42">
        <v>12643.0</v>
      </c>
      <c r="B94" s="42" t="s">
        <v>49</v>
      </c>
      <c r="C94" s="42" t="s">
        <v>45</v>
      </c>
      <c r="D94" s="43">
        <v>46258.0</v>
      </c>
      <c r="E94" s="42" t="s">
        <v>132</v>
      </c>
      <c r="F94" s="44">
        <f>IFERROR(__xludf.DUMMYFUNCTION("MIN(ARRAYFORMULA(TIMEVALUE(SPLIT(E94,"" ""))))"),0.33055555555555555)</f>
        <v>0.3305555556</v>
      </c>
      <c r="G94" s="44">
        <f>IFERROR(__xludf.DUMMYFUNCTION("MAX(ARRAYFORMULA(TIMEVALUE(SPLIT(E94,"" ""))))"),0.8131944444444444)</f>
        <v>0.8131944444</v>
      </c>
      <c r="H94" s="45"/>
      <c r="I94" s="45"/>
      <c r="J94" s="46">
        <f t="shared" si="7"/>
        <v>3</v>
      </c>
      <c r="K94" s="27"/>
      <c r="L94" s="38"/>
      <c r="M94" s="38" t="str">
        <f t="shared" si="2"/>
        <v/>
      </c>
      <c r="N94" s="47"/>
      <c r="O94" s="48" t="str">
        <f t="shared" si="6"/>
        <v>Hai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42">
        <v>12643.0</v>
      </c>
      <c r="B95" s="42" t="s">
        <v>49</v>
      </c>
      <c r="C95" s="42" t="s">
        <v>45</v>
      </c>
      <c r="D95" s="43">
        <v>46259.0</v>
      </c>
      <c r="E95" s="42" t="s">
        <v>133</v>
      </c>
      <c r="F95" s="44">
        <f>IFERROR(__xludf.DUMMYFUNCTION("MIN(ARRAYFORMULA(TIMEVALUE(SPLIT(E95,"" ""))))"),0.33541666666666664)</f>
        <v>0.3354166667</v>
      </c>
      <c r="G95" s="44">
        <f>IFERROR(__xludf.DUMMYFUNCTION("MAX(ARRAYFORMULA(TIMEVALUE(SPLIT(E95,"" ""))))"),0.7305555555555555)</f>
        <v>0.7305555556</v>
      </c>
      <c r="H95" s="42">
        <v>3.0</v>
      </c>
      <c r="I95" s="45"/>
      <c r="J95" s="46">
        <f t="shared" si="7"/>
        <v>2</v>
      </c>
      <c r="K95" s="27"/>
      <c r="L95" s="38"/>
      <c r="M95" s="38" t="str">
        <f t="shared" si="2"/>
        <v/>
      </c>
      <c r="N95" s="47"/>
      <c r="O95" s="48" t="str">
        <f t="shared" si="6"/>
        <v>Ba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42">
        <v>12643.0</v>
      </c>
      <c r="B96" s="42" t="s">
        <v>49</v>
      </c>
      <c r="C96" s="42" t="s">
        <v>45</v>
      </c>
      <c r="D96" s="43">
        <v>46260.0</v>
      </c>
      <c r="E96" s="42" t="s">
        <v>122</v>
      </c>
      <c r="F96" s="44">
        <f>IFERROR(__xludf.DUMMYFUNCTION("MIN(ARRAYFORMULA(TIMEVALUE(SPLIT(E96,"" ""))))"),0.33402777777777776)</f>
        <v>0.3340277778</v>
      </c>
      <c r="G96" s="44">
        <f>IFERROR(__xludf.DUMMYFUNCTION("MAX(ARRAYFORMULA(TIMEVALUE(SPLIT(E96,"" ""))))"),0.8131944444444444)</f>
        <v>0.8131944444</v>
      </c>
      <c r="H96" s="42">
        <v>1.0</v>
      </c>
      <c r="I96" s="45"/>
      <c r="J96" s="46">
        <f t="shared" si="7"/>
        <v>3</v>
      </c>
      <c r="K96" s="27"/>
      <c r="L96" s="38"/>
      <c r="M96" s="38" t="str">
        <f t="shared" si="2"/>
        <v/>
      </c>
      <c r="N96" s="47"/>
      <c r="O96" s="48" t="str">
        <f t="shared" si="6"/>
        <v>Tư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42">
        <v>12643.0</v>
      </c>
      <c r="B97" s="42" t="s">
        <v>49</v>
      </c>
      <c r="C97" s="42" t="s">
        <v>45</v>
      </c>
      <c r="D97" s="43">
        <v>46261.0</v>
      </c>
      <c r="E97" s="42" t="s">
        <v>134</v>
      </c>
      <c r="F97" s="44">
        <f>IFERROR(__xludf.DUMMYFUNCTION("MIN(ARRAYFORMULA(TIMEVALUE(SPLIT(E97,"" ""))))"),0.33125)</f>
        <v>0.33125</v>
      </c>
      <c r="G97" s="44">
        <f>IFERROR(__xludf.DUMMYFUNCTION("MAX(ARRAYFORMULA(TIMEVALUE(SPLIT(E97,"" ""))))"),0.8125)</f>
        <v>0.8125</v>
      </c>
      <c r="H97" s="45"/>
      <c r="I97" s="45"/>
      <c r="J97" s="46">
        <f t="shared" si="7"/>
        <v>3</v>
      </c>
      <c r="K97" s="27"/>
      <c r="L97" s="38"/>
      <c r="M97" s="38" t="str">
        <f t="shared" si="2"/>
        <v/>
      </c>
      <c r="N97" s="47"/>
      <c r="O97" s="48" t="str">
        <f t="shared" si="6"/>
        <v>Năm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42">
        <v>12643.0</v>
      </c>
      <c r="B98" s="42" t="s">
        <v>49</v>
      </c>
      <c r="C98" s="42" t="s">
        <v>45</v>
      </c>
      <c r="D98" s="43">
        <v>46262.0</v>
      </c>
      <c r="E98" s="42" t="s">
        <v>59</v>
      </c>
      <c r="F98" s="44">
        <f>IFERROR(__xludf.DUMMYFUNCTION("MIN(ARRAYFORMULA(TIMEVALUE(SPLIT(E98,"" ""))))"),0.33402777777777776)</f>
        <v>0.3340277778</v>
      </c>
      <c r="G98" s="44">
        <f>IFERROR(__xludf.DUMMYFUNCTION("MAX(ARRAYFORMULA(TIMEVALUE(SPLIT(E98,"" ""))))"),0.8125)</f>
        <v>0.8125</v>
      </c>
      <c r="H98" s="42">
        <v>1.0</v>
      </c>
      <c r="I98" s="45"/>
      <c r="J98" s="46">
        <f t="shared" si="7"/>
        <v>3</v>
      </c>
      <c r="K98" s="27"/>
      <c r="L98" s="38"/>
      <c r="M98" s="38" t="str">
        <f t="shared" si="2"/>
        <v/>
      </c>
      <c r="N98" s="47"/>
      <c r="O98" s="48" t="str">
        <f t="shared" si="6"/>
        <v>Sáu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42">
        <v>12643.0</v>
      </c>
      <c r="B99" s="42" t="s">
        <v>49</v>
      </c>
      <c r="C99" s="42" t="s">
        <v>45</v>
      </c>
      <c r="D99" s="43">
        <v>46263.0</v>
      </c>
      <c r="E99" s="42" t="s">
        <v>135</v>
      </c>
      <c r="F99" s="44">
        <f>IFERROR(__xludf.DUMMYFUNCTION("MIN(ARRAYFORMULA(TIMEVALUE(SPLIT(E99,"" ""))))"),0.32708333333333334)</f>
        <v>0.3270833333</v>
      </c>
      <c r="G99" s="44">
        <f>IFERROR(__xludf.DUMMYFUNCTION("MAX(ARRAYFORMULA(TIMEVALUE(SPLIT(E99,"" ""))))"),0.7298611111111111)</f>
        <v>0.7298611111</v>
      </c>
      <c r="H99" s="45"/>
      <c r="I99" s="45"/>
      <c r="J99" s="46">
        <f t="shared" si="7"/>
        <v>2</v>
      </c>
      <c r="K99" s="27"/>
      <c r="L99" s="38"/>
      <c r="M99" s="38" t="str">
        <f t="shared" si="2"/>
        <v/>
      </c>
      <c r="N99" s="47"/>
      <c r="O99" s="48" t="str">
        <f t="shared" si="6"/>
        <v>Bảy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42">
        <v>12643.0</v>
      </c>
      <c r="B100" s="42" t="s">
        <v>49</v>
      </c>
      <c r="C100" s="42" t="s">
        <v>45</v>
      </c>
      <c r="D100" s="43">
        <v>46265.0</v>
      </c>
      <c r="E100" s="42" t="s">
        <v>136</v>
      </c>
      <c r="F100" s="44">
        <f>IFERROR(__xludf.DUMMYFUNCTION("MIN(ARRAYFORMULA(TIMEVALUE(SPLIT(E100,"" ""))))"),0.3229166666666667)</f>
        <v>0.3229166667</v>
      </c>
      <c r="G100" s="44">
        <f>IFERROR(__xludf.DUMMYFUNCTION("MAX(ARRAYFORMULA(TIMEVALUE(SPLIT(E100,"" ""))))"),0.8131944444444444)</f>
        <v>0.8131944444</v>
      </c>
      <c r="H100" s="45"/>
      <c r="I100" s="45"/>
      <c r="J100" s="46">
        <f t="shared" si="7"/>
        <v>3</v>
      </c>
      <c r="K100" s="27"/>
      <c r="L100" s="38"/>
      <c r="M100" s="38" t="str">
        <f t="shared" si="2"/>
        <v/>
      </c>
      <c r="N100" s="47"/>
      <c r="O100" s="48" t="str">
        <f t="shared" si="6"/>
        <v>Hai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42">
        <v>53384.0</v>
      </c>
      <c r="B101" s="42" t="s">
        <v>80</v>
      </c>
      <c r="C101" s="42" t="s">
        <v>67</v>
      </c>
      <c r="D101" s="43">
        <v>46235.0</v>
      </c>
      <c r="E101" s="42" t="s">
        <v>87</v>
      </c>
      <c r="F101" s="44">
        <f>IFERROR(__xludf.DUMMYFUNCTION("MIN(ARRAYFORMULA(TIMEVALUE(SPLIT(E101,"" ""))))"),0.32013888888888886)</f>
        <v>0.3201388889</v>
      </c>
      <c r="G101" s="44">
        <f>IFERROR(__xludf.DUMMYFUNCTION("MAX(ARRAYFORMULA(TIMEVALUE(SPLIT(E101,"" ""))))"),0.8125)</f>
        <v>0.8125</v>
      </c>
      <c r="H101" s="45"/>
      <c r="I101" s="45"/>
      <c r="J101" s="46">
        <f t="shared" si="7"/>
        <v>3</v>
      </c>
      <c r="K101" s="27"/>
      <c r="L101" s="38"/>
      <c r="M101" s="38" t="str">
        <f t="shared" si="2"/>
        <v/>
      </c>
      <c r="N101" s="47"/>
      <c r="O101" s="48" t="str">
        <f t="shared" si="6"/>
        <v>Bảy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42">
        <v>53384.0</v>
      </c>
      <c r="B102" s="42" t="s">
        <v>80</v>
      </c>
      <c r="C102" s="42" t="s">
        <v>67</v>
      </c>
      <c r="D102" s="43">
        <v>46236.0</v>
      </c>
      <c r="E102" s="42" t="s">
        <v>107</v>
      </c>
      <c r="F102" s="44">
        <f>IFERROR(__xludf.DUMMYFUNCTION("MIN(ARRAYFORMULA(TIMEVALUE(SPLIT(E102,"" ""))))"),0.32569444444444445)</f>
        <v>0.3256944444</v>
      </c>
      <c r="G102" s="44">
        <f>IFERROR(__xludf.DUMMYFUNCTION("MAX(ARRAYFORMULA(TIMEVALUE(SPLIT(E102,"" ""))))"),0.75)</f>
        <v>0.75</v>
      </c>
      <c r="H102" s="45"/>
      <c r="I102" s="45"/>
      <c r="J102" s="46">
        <f t="shared" si="7"/>
        <v>2</v>
      </c>
      <c r="K102" s="27"/>
      <c r="L102" s="38"/>
      <c r="M102" s="38">
        <f t="shared" si="2"/>
        <v>1</v>
      </c>
      <c r="N102" s="47"/>
      <c r="O102" s="48" t="str">
        <f t="shared" si="6"/>
        <v>CN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42">
        <v>53384.0</v>
      </c>
      <c r="B103" s="42" t="s">
        <v>80</v>
      </c>
      <c r="C103" s="42" t="s">
        <v>67</v>
      </c>
      <c r="D103" s="43">
        <v>46237.0</v>
      </c>
      <c r="E103" s="42" t="s">
        <v>137</v>
      </c>
      <c r="F103" s="44">
        <f>IFERROR(__xludf.DUMMYFUNCTION("MIN(ARRAYFORMULA(TIMEVALUE(SPLIT(E103,"" ""))))"),0.3236111111111111)</f>
        <v>0.3236111111</v>
      </c>
      <c r="G103" s="44">
        <f>IFERROR(__xludf.DUMMYFUNCTION("MAX(ARRAYFORMULA(TIMEVALUE(SPLIT(E103,"" ""))))"),0.8125)</f>
        <v>0.8125</v>
      </c>
      <c r="H103" s="45"/>
      <c r="I103" s="45"/>
      <c r="J103" s="46">
        <f t="shared" si="7"/>
        <v>3</v>
      </c>
      <c r="K103" s="27"/>
      <c r="L103" s="38"/>
      <c r="M103" s="38" t="str">
        <f t="shared" si="2"/>
        <v/>
      </c>
      <c r="N103" s="47"/>
      <c r="O103" s="48" t="str">
        <f t="shared" si="6"/>
        <v>Hai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42">
        <v>53384.0</v>
      </c>
      <c r="B104" s="42" t="s">
        <v>80</v>
      </c>
      <c r="C104" s="42" t="s">
        <v>67</v>
      </c>
      <c r="D104" s="43">
        <v>46238.0</v>
      </c>
      <c r="E104" s="42" t="s">
        <v>138</v>
      </c>
      <c r="F104" s="44">
        <f>IFERROR(__xludf.DUMMYFUNCTION("MIN(ARRAYFORMULA(TIMEVALUE(SPLIT(E104,"" ""))))"),0.3229166666666667)</f>
        <v>0.3229166667</v>
      </c>
      <c r="G104" s="44">
        <f>IFERROR(__xludf.DUMMYFUNCTION("MAX(ARRAYFORMULA(TIMEVALUE(SPLIT(E104,"" ""))))"),0.8138888888888889)</f>
        <v>0.8138888889</v>
      </c>
      <c r="H104" s="45"/>
      <c r="I104" s="45"/>
      <c r="J104" s="46">
        <f t="shared" si="7"/>
        <v>3</v>
      </c>
      <c r="K104" s="27"/>
      <c r="L104" s="38"/>
      <c r="M104" s="38" t="str">
        <f t="shared" si="2"/>
        <v/>
      </c>
      <c r="N104" s="47"/>
      <c r="O104" s="48" t="str">
        <f t="shared" si="6"/>
        <v>Ba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42">
        <v>53384.0</v>
      </c>
      <c r="B105" s="42" t="s">
        <v>80</v>
      </c>
      <c r="C105" s="42" t="s">
        <v>67</v>
      </c>
      <c r="D105" s="43">
        <v>46240.0</v>
      </c>
      <c r="E105" s="42" t="s">
        <v>139</v>
      </c>
      <c r="F105" s="44">
        <f>IFERROR(__xludf.DUMMYFUNCTION("MIN(ARRAYFORMULA(TIMEVALUE(SPLIT(E105,"" ""))))"),0.3284722222222222)</f>
        <v>0.3284722222</v>
      </c>
      <c r="G105" s="44">
        <f>IFERROR(__xludf.DUMMYFUNCTION("MAX(ARRAYFORMULA(TIMEVALUE(SPLIT(E105,"" ""))))"),0.8125)</f>
        <v>0.8125</v>
      </c>
      <c r="H105" s="45"/>
      <c r="I105" s="45"/>
      <c r="J105" s="46">
        <f t="shared" si="7"/>
        <v>3</v>
      </c>
      <c r="K105" s="27"/>
      <c r="L105" s="38"/>
      <c r="M105" s="38" t="str">
        <f t="shared" si="2"/>
        <v/>
      </c>
      <c r="N105" s="47"/>
      <c r="O105" s="48" t="str">
        <f t="shared" si="6"/>
        <v>Năm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42">
        <v>53384.0</v>
      </c>
      <c r="B106" s="42" t="s">
        <v>80</v>
      </c>
      <c r="C106" s="42" t="s">
        <v>67</v>
      </c>
      <c r="D106" s="43">
        <v>46241.0</v>
      </c>
      <c r="E106" s="42" t="s">
        <v>116</v>
      </c>
      <c r="F106" s="44">
        <f>IFERROR(__xludf.DUMMYFUNCTION("MIN(ARRAYFORMULA(TIMEVALUE(SPLIT(E106,"" ""))))"),0.32708333333333334)</f>
        <v>0.3270833333</v>
      </c>
      <c r="G106" s="44">
        <f>IFERROR(__xludf.DUMMYFUNCTION("MAX(ARRAYFORMULA(TIMEVALUE(SPLIT(E106,"" ""))))"),0.8125)</f>
        <v>0.8125</v>
      </c>
      <c r="H106" s="45"/>
      <c r="I106" s="45"/>
      <c r="J106" s="46">
        <f t="shared" si="7"/>
        <v>3</v>
      </c>
      <c r="K106" s="27"/>
      <c r="L106" s="38"/>
      <c r="M106" s="38" t="str">
        <f t="shared" si="2"/>
        <v/>
      </c>
      <c r="N106" s="47"/>
      <c r="O106" s="48" t="str">
        <f t="shared" si="6"/>
        <v>Sáu</v>
      </c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42">
        <v>53384.0</v>
      </c>
      <c r="B107" s="42" t="s">
        <v>80</v>
      </c>
      <c r="C107" s="42" t="s">
        <v>67</v>
      </c>
      <c r="D107" s="43">
        <v>46243.0</v>
      </c>
      <c r="E107" s="42" t="s">
        <v>140</v>
      </c>
      <c r="F107" s="44">
        <f>IFERROR(__xludf.DUMMYFUNCTION("MIN(ARRAYFORMULA(TIMEVALUE(SPLIT(E107,"" ""))))"),0.32569444444444445)</f>
        <v>0.3256944444</v>
      </c>
      <c r="G107" s="44">
        <f>IFERROR(__xludf.DUMMYFUNCTION("MAX(ARRAYFORMULA(TIMEVALUE(SPLIT(E107,"" ""))))"),0.5)</f>
        <v>0.5</v>
      </c>
      <c r="H107" s="45"/>
      <c r="I107" s="45"/>
      <c r="J107" s="46">
        <f t="shared" si="7"/>
        <v>1</v>
      </c>
      <c r="K107" s="27"/>
      <c r="L107" s="38"/>
      <c r="M107" s="38" t="str">
        <f t="shared" si="2"/>
        <v/>
      </c>
      <c r="N107" s="47"/>
      <c r="O107" s="48" t="str">
        <f t="shared" si="6"/>
        <v>CN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42">
        <v>53384.0</v>
      </c>
      <c r="B108" s="42" t="s">
        <v>80</v>
      </c>
      <c r="C108" s="42" t="s">
        <v>67</v>
      </c>
      <c r="D108" s="43">
        <v>46244.0</v>
      </c>
      <c r="E108" s="42" t="s">
        <v>141</v>
      </c>
      <c r="F108" s="44">
        <f>IFERROR(__xludf.DUMMYFUNCTION("MIN(ARRAYFORMULA(TIMEVALUE(SPLIT(E108,"" ""))))"),0.32430555555555557)</f>
        <v>0.3243055556</v>
      </c>
      <c r="G108" s="44">
        <f>IFERROR(__xludf.DUMMYFUNCTION("MAX(ARRAYFORMULA(TIMEVALUE(SPLIT(E108,"" ""))))"),0.8118055555555556)</f>
        <v>0.8118055556</v>
      </c>
      <c r="H108" s="45"/>
      <c r="I108" s="45"/>
      <c r="J108" s="46">
        <f t="shared" si="7"/>
        <v>3</v>
      </c>
      <c r="K108" s="27"/>
      <c r="L108" s="38"/>
      <c r="M108" s="38" t="str">
        <f t="shared" si="2"/>
        <v/>
      </c>
      <c r="N108" s="47"/>
      <c r="O108" s="48" t="str">
        <f t="shared" si="6"/>
        <v>Hai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42">
        <v>53384.0</v>
      </c>
      <c r="B109" s="42" t="s">
        <v>80</v>
      </c>
      <c r="C109" s="42" t="s">
        <v>67</v>
      </c>
      <c r="D109" s="43"/>
      <c r="E109" s="42"/>
      <c r="F109" s="44"/>
      <c r="G109" s="44"/>
      <c r="H109" s="45"/>
      <c r="I109" s="45"/>
      <c r="J109" s="55">
        <v>-4.0</v>
      </c>
      <c r="K109" s="27"/>
      <c r="L109" s="38"/>
      <c r="M109" s="38"/>
      <c r="N109" s="47"/>
      <c r="O109" s="48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42">
        <v>53384.0</v>
      </c>
      <c r="B110" s="42" t="s">
        <v>80</v>
      </c>
      <c r="C110" s="42" t="s">
        <v>67</v>
      </c>
      <c r="D110" s="43">
        <v>46249.0</v>
      </c>
      <c r="E110" s="42" t="s">
        <v>116</v>
      </c>
      <c r="F110" s="44">
        <f>IFERROR(__xludf.DUMMYFUNCTION("MIN(ARRAYFORMULA(TIMEVALUE(SPLIT(E110,"" ""))))"),0.32708333333333334)</f>
        <v>0.3270833333</v>
      </c>
      <c r="G110" s="44">
        <f>IFERROR(__xludf.DUMMYFUNCTION("MAX(ARRAYFORMULA(TIMEVALUE(SPLIT(E110,"" ""))))"),0.8125)</f>
        <v>0.8125</v>
      </c>
      <c r="H110" s="45"/>
      <c r="I110" s="45"/>
      <c r="J110" s="46">
        <f t="shared" ref="J110:J117" si="8">IF(WEEKDAY(D110,2)=7,IF(AND(F110&lt;TIME(8,15,0),G110&gt;=TIME(11,55,0)),1,0)+IF(AND(F110&lt;TIME(13,45,0),G110&gt;=TIME(17,55,0)),1,0),IF(AND(F110&lt;TIME(8,15,0),G110&gt;=TIME(11,55,0)),1,0)+IF(AND(F110&lt;TIME(13,45,0),G110&gt;=TIME(17,25,0)),1,0)+IF(AND(F110&lt;TIME(15,45,0),G110&gt;=TIME(19,25,0)),1,0))</f>
        <v>3</v>
      </c>
      <c r="K110" s="27"/>
      <c r="L110" s="38"/>
      <c r="M110" s="38" t="str">
        <f t="shared" ref="M110:M299" si="9">IF(WEEKDAY(D110,2)=7,IF(J110=2,1,""),"")</f>
        <v/>
      </c>
      <c r="N110" s="47"/>
      <c r="O110" s="48" t="str">
        <f t="shared" ref="O110:O171" si="10">CHOOSE(WEEKDAY(D110,2),"Hai","Ba","Tư","Năm","Sáu","Bảy","CN")</f>
        <v>Bảy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42">
        <v>53384.0</v>
      </c>
      <c r="B111" s="42" t="s">
        <v>80</v>
      </c>
      <c r="C111" s="42" t="s">
        <v>67</v>
      </c>
      <c r="D111" s="43">
        <v>46250.0</v>
      </c>
      <c r="E111" s="42" t="s">
        <v>107</v>
      </c>
      <c r="F111" s="44">
        <f>IFERROR(__xludf.DUMMYFUNCTION("MIN(ARRAYFORMULA(TIMEVALUE(SPLIT(E111,"" ""))))"),0.32569444444444445)</f>
        <v>0.3256944444</v>
      </c>
      <c r="G111" s="44">
        <f>IFERROR(__xludf.DUMMYFUNCTION("MAX(ARRAYFORMULA(TIMEVALUE(SPLIT(E111,"" ""))))"),0.75)</f>
        <v>0.75</v>
      </c>
      <c r="H111" s="45"/>
      <c r="I111" s="45"/>
      <c r="J111" s="46">
        <f t="shared" si="8"/>
        <v>2</v>
      </c>
      <c r="K111" s="27"/>
      <c r="L111" s="38"/>
      <c r="M111" s="38">
        <f t="shared" si="9"/>
        <v>1</v>
      </c>
      <c r="N111" s="47"/>
      <c r="O111" s="48" t="str">
        <f t="shared" si="10"/>
        <v>CN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42">
        <v>53384.0</v>
      </c>
      <c r="B112" s="42" t="s">
        <v>80</v>
      </c>
      <c r="C112" s="42" t="s">
        <v>67</v>
      </c>
      <c r="D112" s="43">
        <v>46251.0</v>
      </c>
      <c r="E112" s="42" t="s">
        <v>142</v>
      </c>
      <c r="F112" s="44">
        <f>IFERROR(__xludf.DUMMYFUNCTION("MIN(ARRAYFORMULA(TIMEVALUE(SPLIT(E112,"" ""))))"),0.3263888888888889)</f>
        <v>0.3263888889</v>
      </c>
      <c r="G112" s="44">
        <f>IFERROR(__xludf.DUMMYFUNCTION("MAX(ARRAYFORMULA(TIMEVALUE(SPLIT(E112,"" ""))))"),0.8166666666666667)</f>
        <v>0.8166666667</v>
      </c>
      <c r="H112" s="45"/>
      <c r="I112" s="45"/>
      <c r="J112" s="46">
        <f t="shared" si="8"/>
        <v>3</v>
      </c>
      <c r="K112" s="27"/>
      <c r="L112" s="38"/>
      <c r="M112" s="38" t="str">
        <f t="shared" si="9"/>
        <v/>
      </c>
      <c r="N112" s="47"/>
      <c r="O112" s="48" t="str">
        <f t="shared" si="10"/>
        <v>Hai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42">
        <v>53384.0</v>
      </c>
      <c r="B113" s="42" t="s">
        <v>80</v>
      </c>
      <c r="C113" s="42" t="s">
        <v>67</v>
      </c>
      <c r="D113" s="43">
        <v>46252.0</v>
      </c>
      <c r="E113" s="42" t="s">
        <v>105</v>
      </c>
      <c r="F113" s="44">
        <f>IFERROR(__xludf.DUMMYFUNCTION("MIN(ARRAYFORMULA(TIMEVALUE(SPLIT(E113,"" ""))))"),0.32569444444444445)</f>
        <v>0.3256944444</v>
      </c>
      <c r="G113" s="44">
        <f>IFERROR(__xludf.DUMMYFUNCTION("MAX(ARRAYFORMULA(TIMEVALUE(SPLIT(E113,"" ""))))"),0.8125)</f>
        <v>0.8125</v>
      </c>
      <c r="H113" s="45"/>
      <c r="I113" s="45"/>
      <c r="J113" s="46">
        <f t="shared" si="8"/>
        <v>3</v>
      </c>
      <c r="K113" s="27"/>
      <c r="L113" s="38"/>
      <c r="M113" s="38" t="str">
        <f t="shared" si="9"/>
        <v/>
      </c>
      <c r="N113" s="47"/>
      <c r="O113" s="48" t="str">
        <f t="shared" si="10"/>
        <v>Ba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42">
        <v>53384.0</v>
      </c>
      <c r="B114" s="42" t="s">
        <v>80</v>
      </c>
      <c r="C114" s="42" t="s">
        <v>67</v>
      </c>
      <c r="D114" s="43">
        <v>46254.0</v>
      </c>
      <c r="E114" s="42" t="s">
        <v>143</v>
      </c>
      <c r="F114" s="44">
        <f>IFERROR(__xludf.DUMMYFUNCTION("MIN(ARRAYFORMULA(TIMEVALUE(SPLIT(E114,"" ""))))"),0.325)</f>
        <v>0.325</v>
      </c>
      <c r="G114" s="44">
        <f>IFERROR(__xludf.DUMMYFUNCTION("MAX(ARRAYFORMULA(TIMEVALUE(SPLIT(E114,"" ""))))"),0.5069444444444444)</f>
        <v>0.5069444444</v>
      </c>
      <c r="H114" s="45"/>
      <c r="I114" s="45"/>
      <c r="J114" s="46">
        <f t="shared" si="8"/>
        <v>1</v>
      </c>
      <c r="K114" s="27"/>
      <c r="L114" s="38"/>
      <c r="M114" s="38" t="str">
        <f t="shared" si="9"/>
        <v/>
      </c>
      <c r="N114" s="47" t="s">
        <v>144</v>
      </c>
      <c r="O114" s="48" t="str">
        <f t="shared" si="10"/>
        <v>Năm</v>
      </c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42">
        <v>53384.0</v>
      </c>
      <c r="B115" s="42" t="s">
        <v>80</v>
      </c>
      <c r="C115" s="42" t="s">
        <v>67</v>
      </c>
      <c r="D115" s="43">
        <v>46255.0</v>
      </c>
      <c r="E115" s="42" t="s">
        <v>116</v>
      </c>
      <c r="F115" s="44">
        <f>IFERROR(__xludf.DUMMYFUNCTION("MIN(ARRAYFORMULA(TIMEVALUE(SPLIT(E115,"" ""))))"),0.32708333333333334)</f>
        <v>0.3270833333</v>
      </c>
      <c r="G115" s="44">
        <f>IFERROR(__xludf.DUMMYFUNCTION("MAX(ARRAYFORMULA(TIMEVALUE(SPLIT(E115,"" ""))))"),0.8125)</f>
        <v>0.8125</v>
      </c>
      <c r="H115" s="45"/>
      <c r="I115" s="45"/>
      <c r="J115" s="46">
        <f t="shared" si="8"/>
        <v>3</v>
      </c>
      <c r="K115" s="27"/>
      <c r="L115" s="51">
        <v>2.0</v>
      </c>
      <c r="M115" s="38" t="str">
        <f t="shared" si="9"/>
        <v/>
      </c>
      <c r="N115" s="47" t="s">
        <v>145</v>
      </c>
      <c r="O115" s="48" t="str">
        <f t="shared" si="10"/>
        <v>Sáu</v>
      </c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42">
        <v>53384.0</v>
      </c>
      <c r="B116" s="42" t="s">
        <v>80</v>
      </c>
      <c r="C116" s="42" t="s">
        <v>67</v>
      </c>
      <c r="D116" s="43">
        <v>46256.0</v>
      </c>
      <c r="E116" s="42" t="s">
        <v>116</v>
      </c>
      <c r="F116" s="44">
        <f>IFERROR(__xludf.DUMMYFUNCTION("MIN(ARRAYFORMULA(TIMEVALUE(SPLIT(E116,"" ""))))"),0.32708333333333334)</f>
        <v>0.3270833333</v>
      </c>
      <c r="G116" s="44">
        <f>IFERROR(__xludf.DUMMYFUNCTION("MAX(ARRAYFORMULA(TIMEVALUE(SPLIT(E116,"" ""))))"),0.8125)</f>
        <v>0.8125</v>
      </c>
      <c r="H116" s="45"/>
      <c r="I116" s="45"/>
      <c r="J116" s="46">
        <f t="shared" si="8"/>
        <v>3</v>
      </c>
      <c r="K116" s="27"/>
      <c r="L116" s="38"/>
      <c r="M116" s="38" t="str">
        <f t="shared" si="9"/>
        <v/>
      </c>
      <c r="N116" s="47"/>
      <c r="O116" s="48" t="str">
        <f t="shared" si="10"/>
        <v>Bảy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42">
        <v>53384.0</v>
      </c>
      <c r="B117" s="42" t="s">
        <v>80</v>
      </c>
      <c r="C117" s="42" t="s">
        <v>67</v>
      </c>
      <c r="D117" s="43">
        <v>46257.0</v>
      </c>
      <c r="E117" s="42" t="s">
        <v>146</v>
      </c>
      <c r="F117" s="44">
        <f>IFERROR(__xludf.DUMMYFUNCTION("MIN(ARRAYFORMULA(TIMEVALUE(SPLIT(E117,"" ""))))"),0.32708333333333334)</f>
        <v>0.3270833333</v>
      </c>
      <c r="G117" s="44">
        <f>IFERROR(__xludf.DUMMYFUNCTION("MAX(ARRAYFORMULA(TIMEVALUE(SPLIT(E117,"" ""))))"),0.5)</f>
        <v>0.5</v>
      </c>
      <c r="H117" s="45"/>
      <c r="I117" s="45"/>
      <c r="J117" s="46">
        <f t="shared" si="8"/>
        <v>1</v>
      </c>
      <c r="K117" s="27"/>
      <c r="L117" s="38"/>
      <c r="M117" s="38" t="str">
        <f t="shared" si="9"/>
        <v/>
      </c>
      <c r="N117" s="47"/>
      <c r="O117" s="48" t="str">
        <f t="shared" si="10"/>
        <v>CN</v>
      </c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42">
        <v>53384.0</v>
      </c>
      <c r="B118" s="42" t="s">
        <v>80</v>
      </c>
      <c r="C118" s="42" t="s">
        <v>67</v>
      </c>
      <c r="D118" s="43">
        <v>46258.0</v>
      </c>
      <c r="E118" s="53">
        <v>0.32222222222222224</v>
      </c>
      <c r="F118" s="44">
        <f>IFERROR(__xludf.DUMMYFUNCTION("MIN(ARRAYFORMULA(TIMEVALUE(SPLIT(E118,"" ""))))"),0.32222222222222224)</f>
        <v>0.3222222222</v>
      </c>
      <c r="G118" s="44">
        <f>IFERROR(__xludf.DUMMYFUNCTION("MAX(ARRAYFORMULA(TIMEVALUE(SPLIT(E118,"" ""))))"),0.32222222222222224)</f>
        <v>0.3222222222</v>
      </c>
      <c r="H118" s="45"/>
      <c r="I118" s="45"/>
      <c r="J118" s="55">
        <v>3.0</v>
      </c>
      <c r="K118" s="27"/>
      <c r="L118" s="38"/>
      <c r="M118" s="38" t="str">
        <f t="shared" si="9"/>
        <v/>
      </c>
      <c r="N118" s="47" t="s">
        <v>147</v>
      </c>
      <c r="O118" s="48" t="str">
        <f t="shared" si="10"/>
        <v>Hai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42">
        <v>53384.0</v>
      </c>
      <c r="B119" s="42" t="s">
        <v>80</v>
      </c>
      <c r="C119" s="42" t="s">
        <v>67</v>
      </c>
      <c r="D119" s="43">
        <v>46259.0</v>
      </c>
      <c r="E119" s="42" t="s">
        <v>114</v>
      </c>
      <c r="F119" s="44">
        <f>IFERROR(__xludf.DUMMYFUNCTION("MIN(ARRAYFORMULA(TIMEVALUE(SPLIT(E119,"" ""))))"),0.32916666666666666)</f>
        <v>0.3291666667</v>
      </c>
      <c r="G119" s="44">
        <f>IFERROR(__xludf.DUMMYFUNCTION("MAX(ARRAYFORMULA(TIMEVALUE(SPLIT(E119,"" ""))))"),0.8125)</f>
        <v>0.8125</v>
      </c>
      <c r="H119" s="45"/>
      <c r="I119" s="45"/>
      <c r="J119" s="46">
        <f t="shared" ref="J119:J135" si="11">IF(WEEKDAY(D119,2)=7,IF(AND(F119&lt;TIME(8,15,0),G119&gt;=TIME(11,55,0)),1,0)+IF(AND(F119&lt;TIME(13,45,0),G119&gt;=TIME(17,55,0)),1,0),IF(AND(F119&lt;TIME(8,15,0),G119&gt;=TIME(11,55,0)),1,0)+IF(AND(F119&lt;TIME(13,45,0),G119&gt;=TIME(17,25,0)),1,0)+IF(AND(F119&lt;TIME(15,45,0),G119&gt;=TIME(19,25,0)),1,0))</f>
        <v>3</v>
      </c>
      <c r="K119" s="27"/>
      <c r="L119" s="38"/>
      <c r="M119" s="38" t="str">
        <f t="shared" si="9"/>
        <v/>
      </c>
      <c r="N119" s="47"/>
      <c r="O119" s="48" t="str">
        <f t="shared" si="10"/>
        <v>Ba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42">
        <v>53384.0</v>
      </c>
      <c r="B120" s="42" t="s">
        <v>80</v>
      </c>
      <c r="C120" s="42" t="s">
        <v>67</v>
      </c>
      <c r="D120" s="43">
        <v>46260.0</v>
      </c>
      <c r="E120" s="42" t="s">
        <v>148</v>
      </c>
      <c r="F120" s="44">
        <f>IFERROR(__xludf.DUMMYFUNCTION("MIN(ARRAYFORMULA(TIMEVALUE(SPLIT(E120,"" ""))))"),0.31805555555555554)</f>
        <v>0.3180555556</v>
      </c>
      <c r="G120" s="44">
        <f>IFERROR(__xludf.DUMMYFUNCTION("MAX(ARRAYFORMULA(TIMEVALUE(SPLIT(E120,"" ""))))"),0.8125)</f>
        <v>0.8125</v>
      </c>
      <c r="H120" s="45"/>
      <c r="I120" s="45"/>
      <c r="J120" s="46">
        <f t="shared" si="11"/>
        <v>3</v>
      </c>
      <c r="K120" s="27"/>
      <c r="L120" s="38"/>
      <c r="M120" s="38" t="str">
        <f t="shared" si="9"/>
        <v/>
      </c>
      <c r="N120" s="47"/>
      <c r="O120" s="48" t="str">
        <f t="shared" si="10"/>
        <v>Tư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42">
        <v>53384.0</v>
      </c>
      <c r="B121" s="42" t="s">
        <v>80</v>
      </c>
      <c r="C121" s="42" t="s">
        <v>67</v>
      </c>
      <c r="D121" s="43">
        <v>46261.0</v>
      </c>
      <c r="E121" s="42" t="s">
        <v>106</v>
      </c>
      <c r="F121" s="44">
        <f>IFERROR(__xludf.DUMMYFUNCTION("MIN(ARRAYFORMULA(TIMEVALUE(SPLIT(E121,"" ""))))"),0.32222222222222224)</f>
        <v>0.3222222222</v>
      </c>
      <c r="G121" s="44">
        <f>IFERROR(__xludf.DUMMYFUNCTION("MAX(ARRAYFORMULA(TIMEVALUE(SPLIT(E121,"" ""))))"),0.8125)</f>
        <v>0.8125</v>
      </c>
      <c r="H121" s="45"/>
      <c r="I121" s="45"/>
      <c r="J121" s="46">
        <f t="shared" si="11"/>
        <v>3</v>
      </c>
      <c r="K121" s="27"/>
      <c r="L121" s="38"/>
      <c r="M121" s="38" t="str">
        <f t="shared" si="9"/>
        <v/>
      </c>
      <c r="N121" s="47"/>
      <c r="O121" s="48" t="str">
        <f t="shared" si="10"/>
        <v>Năm</v>
      </c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42">
        <v>53384.0</v>
      </c>
      <c r="B122" s="42" t="s">
        <v>80</v>
      </c>
      <c r="C122" s="42" t="s">
        <v>67</v>
      </c>
      <c r="D122" s="43">
        <v>46262.0</v>
      </c>
      <c r="E122" s="42" t="s">
        <v>106</v>
      </c>
      <c r="F122" s="44">
        <f>IFERROR(__xludf.DUMMYFUNCTION("MIN(ARRAYFORMULA(TIMEVALUE(SPLIT(E122,"" ""))))"),0.32222222222222224)</f>
        <v>0.3222222222</v>
      </c>
      <c r="G122" s="44">
        <f>IFERROR(__xludf.DUMMYFUNCTION("MAX(ARRAYFORMULA(TIMEVALUE(SPLIT(E122,"" ""))))"),0.8125)</f>
        <v>0.8125</v>
      </c>
      <c r="H122" s="45"/>
      <c r="I122" s="45"/>
      <c r="J122" s="46">
        <f t="shared" si="11"/>
        <v>3</v>
      </c>
      <c r="K122" s="27"/>
      <c r="L122" s="38"/>
      <c r="M122" s="38" t="str">
        <f t="shared" si="9"/>
        <v/>
      </c>
      <c r="N122" s="47"/>
      <c r="O122" s="48" t="str">
        <f t="shared" si="10"/>
        <v>Sáu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42">
        <v>53384.0</v>
      </c>
      <c r="B123" s="42" t="s">
        <v>80</v>
      </c>
      <c r="C123" s="42" t="s">
        <v>67</v>
      </c>
      <c r="D123" s="43">
        <v>46263.0</v>
      </c>
      <c r="E123" s="42" t="s">
        <v>101</v>
      </c>
      <c r="F123" s="44">
        <f>IFERROR(__xludf.DUMMYFUNCTION("MIN(ARRAYFORMULA(TIMEVALUE(SPLIT(E123,"" ""))))"),0.3263888888888889)</f>
        <v>0.3263888889</v>
      </c>
      <c r="G123" s="44">
        <f>IFERROR(__xludf.DUMMYFUNCTION("MAX(ARRAYFORMULA(TIMEVALUE(SPLIT(E123,"" ""))))"),0.8125)</f>
        <v>0.8125</v>
      </c>
      <c r="H123" s="45"/>
      <c r="I123" s="45"/>
      <c r="J123" s="46">
        <f t="shared" si="11"/>
        <v>3</v>
      </c>
      <c r="K123" s="51">
        <v>90.0</v>
      </c>
      <c r="L123" s="38"/>
      <c r="M123" s="38" t="str">
        <f t="shared" si="9"/>
        <v/>
      </c>
      <c r="N123" s="47" t="s">
        <v>149</v>
      </c>
      <c r="O123" s="48" t="str">
        <f t="shared" si="10"/>
        <v>Bảy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42">
        <v>53384.0</v>
      </c>
      <c r="B124" s="42" t="s">
        <v>80</v>
      </c>
      <c r="C124" s="42" t="s">
        <v>67</v>
      </c>
      <c r="D124" s="43">
        <v>46264.0</v>
      </c>
      <c r="E124" s="42" t="s">
        <v>150</v>
      </c>
      <c r="F124" s="44">
        <f>IFERROR(__xludf.DUMMYFUNCTION("MIN(ARRAYFORMULA(TIMEVALUE(SPLIT(E124,"" ""))))"),0.32430555555555557)</f>
        <v>0.3243055556</v>
      </c>
      <c r="G124" s="44">
        <f>IFERROR(__xludf.DUMMYFUNCTION("MAX(ARRAYFORMULA(TIMEVALUE(SPLIT(E124,"" ""))))"),0.75)</f>
        <v>0.75</v>
      </c>
      <c r="H124" s="45"/>
      <c r="I124" s="45"/>
      <c r="J124" s="46">
        <f t="shared" si="11"/>
        <v>2</v>
      </c>
      <c r="K124" s="27"/>
      <c r="L124" s="38"/>
      <c r="M124" s="38">
        <f t="shared" si="9"/>
        <v>1</v>
      </c>
      <c r="N124" s="47"/>
      <c r="O124" s="48" t="str">
        <f t="shared" si="10"/>
        <v>CN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42">
        <v>53384.0</v>
      </c>
      <c r="B125" s="42" t="s">
        <v>80</v>
      </c>
      <c r="C125" s="42" t="s">
        <v>67</v>
      </c>
      <c r="D125" s="43">
        <v>46265.0</v>
      </c>
      <c r="E125" s="42" t="s">
        <v>151</v>
      </c>
      <c r="F125" s="44">
        <f>IFERROR(__xludf.DUMMYFUNCTION("MIN(ARRAYFORMULA(TIMEVALUE(SPLIT(E125,"" ""))))"),0.5527777777777778)</f>
        <v>0.5527777778</v>
      </c>
      <c r="G125" s="44">
        <f>IFERROR(__xludf.DUMMYFUNCTION("MAX(ARRAYFORMULA(TIMEVALUE(SPLIT(E125,"" ""))))"),0.8125)</f>
        <v>0.8125</v>
      </c>
      <c r="H125" s="45"/>
      <c r="I125" s="45"/>
      <c r="J125" s="46">
        <f t="shared" si="11"/>
        <v>2</v>
      </c>
      <c r="K125" s="27"/>
      <c r="L125" s="38"/>
      <c r="M125" s="38" t="str">
        <f t="shared" si="9"/>
        <v/>
      </c>
      <c r="N125" s="47"/>
      <c r="O125" s="48" t="str">
        <f t="shared" si="10"/>
        <v>Hai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42">
        <v>24799.0</v>
      </c>
      <c r="B126" s="42" t="s">
        <v>96</v>
      </c>
      <c r="C126" s="42" t="s">
        <v>97</v>
      </c>
      <c r="D126" s="43">
        <v>46235.0</v>
      </c>
      <c r="E126" s="42" t="s">
        <v>106</v>
      </c>
      <c r="F126" s="44">
        <f>IFERROR(__xludf.DUMMYFUNCTION("MIN(ARRAYFORMULA(TIMEVALUE(SPLIT(E126,"" ""))))"),0.32222222222222224)</f>
        <v>0.3222222222</v>
      </c>
      <c r="G126" s="44">
        <f>IFERROR(__xludf.DUMMYFUNCTION("MAX(ARRAYFORMULA(TIMEVALUE(SPLIT(E126,"" ""))))"),0.8125)</f>
        <v>0.8125</v>
      </c>
      <c r="H126" s="45"/>
      <c r="I126" s="45"/>
      <c r="J126" s="46">
        <f t="shared" si="11"/>
        <v>3</v>
      </c>
      <c r="K126" s="27"/>
      <c r="L126" s="38"/>
      <c r="M126" s="38" t="str">
        <f t="shared" si="9"/>
        <v/>
      </c>
      <c r="N126" s="47"/>
      <c r="O126" s="48" t="str">
        <f t="shared" si="10"/>
        <v>Bảy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42">
        <v>24799.0</v>
      </c>
      <c r="B127" s="42" t="s">
        <v>96</v>
      </c>
      <c r="C127" s="42" t="s">
        <v>97</v>
      </c>
      <c r="D127" s="43">
        <v>46236.0</v>
      </c>
      <c r="E127" s="42" t="s">
        <v>152</v>
      </c>
      <c r="F127" s="44">
        <f>IFERROR(__xludf.DUMMYFUNCTION("MIN(ARRAYFORMULA(TIMEVALUE(SPLIT(E127,"" ""))))"),0.3347222222222222)</f>
        <v>0.3347222222</v>
      </c>
      <c r="G127" s="44">
        <f>IFERROR(__xludf.DUMMYFUNCTION("MAX(ARRAYFORMULA(TIMEVALUE(SPLIT(E127,"" ""))))"),0.7583333333333333)</f>
        <v>0.7583333333</v>
      </c>
      <c r="H127" s="42">
        <v>2.0</v>
      </c>
      <c r="I127" s="45"/>
      <c r="J127" s="46">
        <f t="shared" si="11"/>
        <v>2</v>
      </c>
      <c r="K127" s="27"/>
      <c r="L127" s="38"/>
      <c r="M127" s="38">
        <f t="shared" si="9"/>
        <v>1</v>
      </c>
      <c r="N127" s="47"/>
      <c r="O127" s="48" t="str">
        <f t="shared" si="10"/>
        <v>CN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42">
        <v>24799.0</v>
      </c>
      <c r="B128" s="42" t="s">
        <v>96</v>
      </c>
      <c r="C128" s="42" t="s">
        <v>97</v>
      </c>
      <c r="D128" s="43">
        <v>46237.0</v>
      </c>
      <c r="E128" s="42" t="s">
        <v>153</v>
      </c>
      <c r="F128" s="44">
        <f>IFERROR(__xludf.DUMMYFUNCTION("MIN(ARRAYFORMULA(TIMEVALUE(SPLIT(E128,"" ""))))"),0.31666666666666665)</f>
        <v>0.3166666667</v>
      </c>
      <c r="G128" s="44">
        <f>IFERROR(__xludf.DUMMYFUNCTION("MAX(ARRAYFORMULA(TIMEVALUE(SPLIT(E128,"" ""))))"),0.8131944444444444)</f>
        <v>0.8131944444</v>
      </c>
      <c r="H128" s="45"/>
      <c r="I128" s="45"/>
      <c r="J128" s="46">
        <f t="shared" si="11"/>
        <v>3</v>
      </c>
      <c r="K128" s="27"/>
      <c r="L128" s="38"/>
      <c r="M128" s="38" t="str">
        <f t="shared" si="9"/>
        <v/>
      </c>
      <c r="N128" s="47"/>
      <c r="O128" s="48" t="str">
        <f t="shared" si="10"/>
        <v>Hai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42">
        <v>24799.0</v>
      </c>
      <c r="B129" s="42" t="s">
        <v>96</v>
      </c>
      <c r="C129" s="42" t="s">
        <v>97</v>
      </c>
      <c r="D129" s="43">
        <v>46238.0</v>
      </c>
      <c r="E129" s="42" t="s">
        <v>154</v>
      </c>
      <c r="F129" s="44">
        <f>IFERROR(__xludf.DUMMYFUNCTION("MIN(ARRAYFORMULA(TIMEVALUE(SPLIT(E129,"" ""))))"),0.3159722222222222)</f>
        <v>0.3159722222</v>
      </c>
      <c r="G129" s="44">
        <f>IFERROR(__xludf.DUMMYFUNCTION("MAX(ARRAYFORMULA(TIMEVALUE(SPLIT(E129,"" ""))))"),0.7326388888888888)</f>
        <v>0.7326388889</v>
      </c>
      <c r="H129" s="45"/>
      <c r="I129" s="45"/>
      <c r="J129" s="46">
        <f t="shared" si="11"/>
        <v>2</v>
      </c>
      <c r="K129" s="27"/>
      <c r="L129" s="38"/>
      <c r="M129" s="38" t="str">
        <f t="shared" si="9"/>
        <v/>
      </c>
      <c r="N129" s="47"/>
      <c r="O129" s="48" t="str">
        <f t="shared" si="10"/>
        <v>Ba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42">
        <v>24799.0</v>
      </c>
      <c r="B130" s="42" t="s">
        <v>96</v>
      </c>
      <c r="C130" s="42" t="s">
        <v>97</v>
      </c>
      <c r="D130" s="43">
        <v>46239.0</v>
      </c>
      <c r="E130" s="42" t="s">
        <v>155</v>
      </c>
      <c r="F130" s="44">
        <f>IFERROR(__xludf.DUMMYFUNCTION("MIN(ARRAYFORMULA(TIMEVALUE(SPLIT(E130,"" ""))))"),0.32916666666666666)</f>
        <v>0.3291666667</v>
      </c>
      <c r="G130" s="44">
        <f>IFERROR(__xludf.DUMMYFUNCTION("MAX(ARRAYFORMULA(TIMEVALUE(SPLIT(E130,"" ""))))"),0.8131944444444444)</f>
        <v>0.8131944444</v>
      </c>
      <c r="H130" s="45"/>
      <c r="I130" s="45"/>
      <c r="J130" s="46">
        <f t="shared" si="11"/>
        <v>3</v>
      </c>
      <c r="K130" s="27"/>
      <c r="L130" s="38"/>
      <c r="M130" s="38" t="str">
        <f t="shared" si="9"/>
        <v/>
      </c>
      <c r="N130" s="47"/>
      <c r="O130" s="48" t="str">
        <f t="shared" si="10"/>
        <v>Tư</v>
      </c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42">
        <v>24799.0</v>
      </c>
      <c r="B131" s="42" t="s">
        <v>96</v>
      </c>
      <c r="C131" s="42" t="s">
        <v>97</v>
      </c>
      <c r="D131" s="43">
        <v>46240.0</v>
      </c>
      <c r="E131" s="42" t="s">
        <v>156</v>
      </c>
      <c r="F131" s="44">
        <f>IFERROR(__xludf.DUMMYFUNCTION("MIN(ARRAYFORMULA(TIMEVALUE(SPLIT(E131,"" ""))))"),0.32430555555555557)</f>
        <v>0.3243055556</v>
      </c>
      <c r="G131" s="44">
        <f>IFERROR(__xludf.DUMMYFUNCTION("MAX(ARRAYFORMULA(TIMEVALUE(SPLIT(E131,"" ""))))"),0.73125)</f>
        <v>0.73125</v>
      </c>
      <c r="H131" s="45"/>
      <c r="I131" s="45"/>
      <c r="J131" s="46">
        <f t="shared" si="11"/>
        <v>2</v>
      </c>
      <c r="K131" s="27"/>
      <c r="L131" s="38"/>
      <c r="M131" s="38" t="str">
        <f t="shared" si="9"/>
        <v/>
      </c>
      <c r="N131" s="47"/>
      <c r="O131" s="48" t="str">
        <f t="shared" si="10"/>
        <v>Năm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42">
        <v>24799.0</v>
      </c>
      <c r="B132" s="42" t="s">
        <v>96</v>
      </c>
      <c r="C132" s="42" t="s">
        <v>97</v>
      </c>
      <c r="D132" s="43">
        <v>46241.0</v>
      </c>
      <c r="E132" s="42" t="s">
        <v>157</v>
      </c>
      <c r="F132" s="44">
        <f>IFERROR(__xludf.DUMMYFUNCTION("MIN(ARRAYFORMULA(TIMEVALUE(SPLIT(E132,"" ""))))"),0.5541666666666667)</f>
        <v>0.5541666667</v>
      </c>
      <c r="G132" s="44">
        <f>IFERROR(__xludf.DUMMYFUNCTION("MAX(ARRAYFORMULA(TIMEVALUE(SPLIT(E132,"" ""))))"),0.8138888888888889)</f>
        <v>0.8138888889</v>
      </c>
      <c r="H132" s="45"/>
      <c r="I132" s="45"/>
      <c r="J132" s="46">
        <f t="shared" si="11"/>
        <v>2</v>
      </c>
      <c r="K132" s="27"/>
      <c r="L132" s="38"/>
      <c r="M132" s="38" t="str">
        <f t="shared" si="9"/>
        <v/>
      </c>
      <c r="N132" s="47"/>
      <c r="O132" s="48" t="str">
        <f t="shared" si="10"/>
        <v>Sáu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42">
        <v>24799.0</v>
      </c>
      <c r="B133" s="42" t="s">
        <v>96</v>
      </c>
      <c r="C133" s="42" t="s">
        <v>97</v>
      </c>
      <c r="D133" s="43">
        <v>46242.0</v>
      </c>
      <c r="E133" s="42" t="s">
        <v>98</v>
      </c>
      <c r="F133" s="44">
        <f>IFERROR(__xludf.DUMMYFUNCTION("MIN(ARRAYFORMULA(TIMEVALUE(SPLIT(E133,"" ""))))"),0.32708333333333334)</f>
        <v>0.3270833333</v>
      </c>
      <c r="G133" s="44">
        <f>IFERROR(__xludf.DUMMYFUNCTION("MAX(ARRAYFORMULA(TIMEVALUE(SPLIT(E133,"" ""))))"),0.8131944444444444)</f>
        <v>0.8131944444</v>
      </c>
      <c r="H133" s="45"/>
      <c r="I133" s="45"/>
      <c r="J133" s="46">
        <f t="shared" si="11"/>
        <v>3</v>
      </c>
      <c r="K133" s="27"/>
      <c r="L133" s="38"/>
      <c r="M133" s="38" t="str">
        <f t="shared" si="9"/>
        <v/>
      </c>
      <c r="N133" s="47"/>
      <c r="O133" s="48" t="str">
        <f t="shared" si="10"/>
        <v>Bảy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42">
        <v>24799.0</v>
      </c>
      <c r="B134" s="42" t="s">
        <v>96</v>
      </c>
      <c r="C134" s="42" t="s">
        <v>97</v>
      </c>
      <c r="D134" s="43">
        <v>46244.0</v>
      </c>
      <c r="E134" s="42" t="s">
        <v>158</v>
      </c>
      <c r="F134" s="44">
        <f>IFERROR(__xludf.DUMMYFUNCTION("MIN(ARRAYFORMULA(TIMEVALUE(SPLIT(E134,"" ""))))"),0.3277777777777778)</f>
        <v>0.3277777778</v>
      </c>
      <c r="G134" s="44">
        <f>IFERROR(__xludf.DUMMYFUNCTION("MAX(ARRAYFORMULA(TIMEVALUE(SPLIT(E134,"" ""))))"),0.8159722222222222)</f>
        <v>0.8159722222</v>
      </c>
      <c r="H134" s="45"/>
      <c r="I134" s="45"/>
      <c r="J134" s="46">
        <f t="shared" si="11"/>
        <v>3</v>
      </c>
      <c r="K134" s="27"/>
      <c r="L134" s="38"/>
      <c r="M134" s="38" t="str">
        <f t="shared" si="9"/>
        <v/>
      </c>
      <c r="N134" s="47"/>
      <c r="O134" s="48" t="str">
        <f t="shared" si="10"/>
        <v>Hai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42">
        <v>24799.0</v>
      </c>
      <c r="B135" s="42" t="s">
        <v>96</v>
      </c>
      <c r="C135" s="42" t="s">
        <v>97</v>
      </c>
      <c r="D135" s="43">
        <v>46248.0</v>
      </c>
      <c r="E135" s="42" t="s">
        <v>159</v>
      </c>
      <c r="F135" s="44">
        <f>IFERROR(__xludf.DUMMYFUNCTION("MIN(ARRAYFORMULA(TIMEVALUE(SPLIT(E135,"" ""))))"),0.3111111111111111)</f>
        <v>0.3111111111</v>
      </c>
      <c r="G135" s="44">
        <f>IFERROR(__xludf.DUMMYFUNCTION("MAX(ARRAYFORMULA(TIMEVALUE(SPLIT(E135,"" ""))))"),0.8131944444444444)</f>
        <v>0.8131944444</v>
      </c>
      <c r="H135" s="45"/>
      <c r="I135" s="45"/>
      <c r="J135" s="46">
        <f t="shared" si="11"/>
        <v>3</v>
      </c>
      <c r="K135" s="27"/>
      <c r="L135" s="38"/>
      <c r="M135" s="38" t="str">
        <f t="shared" si="9"/>
        <v/>
      </c>
      <c r="N135" s="47"/>
      <c r="O135" s="48" t="str">
        <f t="shared" si="10"/>
        <v>Sáu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42">
        <v>24799.0</v>
      </c>
      <c r="B136" s="42" t="s">
        <v>96</v>
      </c>
      <c r="C136" s="42" t="s">
        <v>97</v>
      </c>
      <c r="D136" s="43">
        <v>46249.0</v>
      </c>
      <c r="E136" s="53">
        <v>0.33402777777777776</v>
      </c>
      <c r="F136" s="44">
        <f>IFERROR(__xludf.DUMMYFUNCTION("MIN(ARRAYFORMULA(TIMEVALUE(SPLIT(E136,"" ""))))"),0.33402777777777776)</f>
        <v>0.3340277778</v>
      </c>
      <c r="G136" s="44">
        <f>IFERROR(__xludf.DUMMYFUNCTION("MAX(ARRAYFORMULA(TIMEVALUE(SPLIT(E136,"" ""))))"),0.33402777777777776)</f>
        <v>0.3340277778</v>
      </c>
      <c r="H136" s="42">
        <v>1.0</v>
      </c>
      <c r="I136" s="45"/>
      <c r="J136" s="55">
        <v>3.0</v>
      </c>
      <c r="K136" s="27"/>
      <c r="L136" s="38"/>
      <c r="M136" s="38" t="str">
        <f t="shared" si="9"/>
        <v/>
      </c>
      <c r="N136" s="47" t="s">
        <v>128</v>
      </c>
      <c r="O136" s="48" t="str">
        <f t="shared" si="10"/>
        <v>Bảy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42">
        <v>24799.0</v>
      </c>
      <c r="B137" s="42" t="s">
        <v>96</v>
      </c>
      <c r="C137" s="42" t="s">
        <v>97</v>
      </c>
      <c r="D137" s="43">
        <v>46250.0</v>
      </c>
      <c r="E137" s="42" t="s">
        <v>160</v>
      </c>
      <c r="F137" s="44">
        <f>IFERROR(__xludf.DUMMYFUNCTION("MIN(ARRAYFORMULA(TIMEVALUE(SPLIT(E137,"" ""))))"),0.3347222222222222)</f>
        <v>0.3347222222</v>
      </c>
      <c r="G137" s="44">
        <f>IFERROR(__xludf.DUMMYFUNCTION("MAX(ARRAYFORMULA(TIMEVALUE(SPLIT(E137,"" ""))))"),0.7506944444444444)</f>
        <v>0.7506944444</v>
      </c>
      <c r="H137" s="42">
        <v>2.0</v>
      </c>
      <c r="I137" s="45"/>
      <c r="J137" s="46">
        <f t="shared" ref="J137:J145" si="12">IF(WEEKDAY(D137,2)=7,IF(AND(F137&lt;TIME(8,15,0),G137&gt;=TIME(11,55,0)),1,0)+IF(AND(F137&lt;TIME(13,45,0),G137&gt;=TIME(17,55,0)),1,0),IF(AND(F137&lt;TIME(8,15,0),G137&gt;=TIME(11,55,0)),1,0)+IF(AND(F137&lt;TIME(13,45,0),G137&gt;=TIME(17,25,0)),1,0)+IF(AND(F137&lt;TIME(15,45,0),G137&gt;=TIME(19,25,0)),1,0))</f>
        <v>2</v>
      </c>
      <c r="K137" s="27"/>
      <c r="L137" s="38"/>
      <c r="M137" s="38">
        <f t="shared" si="9"/>
        <v>1</v>
      </c>
      <c r="N137" s="47"/>
      <c r="O137" s="48" t="str">
        <f t="shared" si="10"/>
        <v>CN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42">
        <v>24799.0</v>
      </c>
      <c r="B138" s="42" t="s">
        <v>96</v>
      </c>
      <c r="C138" s="42" t="s">
        <v>97</v>
      </c>
      <c r="D138" s="43">
        <v>46251.0</v>
      </c>
      <c r="E138" s="42" t="s">
        <v>161</v>
      </c>
      <c r="F138" s="44">
        <f>IFERROR(__xludf.DUMMYFUNCTION("MIN(ARRAYFORMULA(TIMEVALUE(SPLIT(E138,"" ""))))"),0.5513888888888889)</f>
        <v>0.5513888889</v>
      </c>
      <c r="G138" s="44">
        <f>IFERROR(__xludf.DUMMYFUNCTION("MAX(ARRAYFORMULA(TIMEVALUE(SPLIT(E138,"" ""))))"),0.8159722222222222)</f>
        <v>0.8159722222</v>
      </c>
      <c r="H138" s="45"/>
      <c r="I138" s="45"/>
      <c r="J138" s="46">
        <f t="shared" si="12"/>
        <v>2</v>
      </c>
      <c r="K138" s="27"/>
      <c r="L138" s="38"/>
      <c r="M138" s="38" t="str">
        <f t="shared" si="9"/>
        <v/>
      </c>
      <c r="N138" s="47"/>
      <c r="O138" s="48" t="str">
        <f t="shared" si="10"/>
        <v>Hai</v>
      </c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42">
        <v>24799.0</v>
      </c>
      <c r="B139" s="42" t="s">
        <v>96</v>
      </c>
      <c r="C139" s="42" t="s">
        <v>97</v>
      </c>
      <c r="D139" s="43">
        <v>46252.0</v>
      </c>
      <c r="E139" s="42" t="s">
        <v>162</v>
      </c>
      <c r="F139" s="44">
        <f>IFERROR(__xludf.DUMMYFUNCTION("MIN(ARRAYFORMULA(TIMEVALUE(SPLIT(E139,"" ""))))"),0.3333333333333333)</f>
        <v>0.3333333333</v>
      </c>
      <c r="G139" s="44">
        <f>IFERROR(__xludf.DUMMYFUNCTION("MAX(ARRAYFORMULA(TIMEVALUE(SPLIT(E139,"" ""))))"),0.8131944444444444)</f>
        <v>0.8131944444</v>
      </c>
      <c r="H139" s="45"/>
      <c r="I139" s="45"/>
      <c r="J139" s="46">
        <f t="shared" si="12"/>
        <v>3</v>
      </c>
      <c r="K139" s="27"/>
      <c r="L139" s="38"/>
      <c r="M139" s="38" t="str">
        <f t="shared" si="9"/>
        <v/>
      </c>
      <c r="N139" s="47"/>
      <c r="O139" s="48" t="str">
        <f t="shared" si="10"/>
        <v>Ba</v>
      </c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42">
        <v>24799.0</v>
      </c>
      <c r="B140" s="42" t="s">
        <v>96</v>
      </c>
      <c r="C140" s="42" t="s">
        <v>97</v>
      </c>
      <c r="D140" s="43">
        <v>46253.0</v>
      </c>
      <c r="E140" s="42" t="s">
        <v>163</v>
      </c>
      <c r="F140" s="44">
        <f>IFERROR(__xludf.DUMMYFUNCTION("MIN(ARRAYFORMULA(TIMEVALUE(SPLIT(E140,"" ""))))"),0.5680555555555555)</f>
        <v>0.5680555556</v>
      </c>
      <c r="G140" s="44">
        <f>IFERROR(__xludf.DUMMYFUNCTION("MAX(ARRAYFORMULA(TIMEVALUE(SPLIT(E140,"" ""))))"),0.8145833333333333)</f>
        <v>0.8145833333</v>
      </c>
      <c r="H140" s="42">
        <v>8.0</v>
      </c>
      <c r="I140" s="45"/>
      <c r="J140" s="46">
        <f t="shared" si="12"/>
        <v>2</v>
      </c>
      <c r="K140" s="27"/>
      <c r="L140" s="38"/>
      <c r="M140" s="38" t="str">
        <f t="shared" si="9"/>
        <v/>
      </c>
      <c r="N140" s="47"/>
      <c r="O140" s="48" t="str">
        <f t="shared" si="10"/>
        <v>Tư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42">
        <v>24799.0</v>
      </c>
      <c r="B141" s="42" t="s">
        <v>96</v>
      </c>
      <c r="C141" s="42" t="s">
        <v>97</v>
      </c>
      <c r="D141" s="43">
        <v>46254.0</v>
      </c>
      <c r="E141" s="42" t="s">
        <v>164</v>
      </c>
      <c r="F141" s="44">
        <f>IFERROR(__xludf.DUMMYFUNCTION("MIN(ARRAYFORMULA(TIMEVALUE(SPLIT(E141,"" ""))))"),0.49236111111111114)</f>
        <v>0.4923611111</v>
      </c>
      <c r="G141" s="44">
        <f>IFERROR(__xludf.DUMMYFUNCTION("MAX(ARRAYFORMULA(TIMEVALUE(SPLIT(E141,"" ""))))"),0.8125)</f>
        <v>0.8125</v>
      </c>
      <c r="H141" s="45"/>
      <c r="I141" s="45"/>
      <c r="J141" s="46">
        <f t="shared" si="12"/>
        <v>2</v>
      </c>
      <c r="K141" s="27"/>
      <c r="L141" s="38"/>
      <c r="M141" s="38" t="str">
        <f t="shared" si="9"/>
        <v/>
      </c>
      <c r="N141" s="47"/>
      <c r="O141" s="48" t="str">
        <f t="shared" si="10"/>
        <v>Năm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42">
        <v>24799.0</v>
      </c>
      <c r="B142" s="42" t="s">
        <v>96</v>
      </c>
      <c r="C142" s="42" t="s">
        <v>97</v>
      </c>
      <c r="D142" s="43">
        <v>46255.0</v>
      </c>
      <c r="E142" s="42" t="s">
        <v>165</v>
      </c>
      <c r="F142" s="44">
        <f>IFERROR(__xludf.DUMMYFUNCTION("MIN(ARRAYFORMULA(TIMEVALUE(SPLIT(E142,"" ""))))"),0.5590277777777778)</f>
        <v>0.5590277778</v>
      </c>
      <c r="G142" s="44">
        <f>IFERROR(__xludf.DUMMYFUNCTION("MAX(ARRAYFORMULA(TIMEVALUE(SPLIT(E142,"" ""))))"),0.8125)</f>
        <v>0.8125</v>
      </c>
      <c r="H142" s="45"/>
      <c r="I142" s="45"/>
      <c r="J142" s="46">
        <f t="shared" si="12"/>
        <v>2</v>
      </c>
      <c r="K142" s="27"/>
      <c r="L142" s="38"/>
      <c r="M142" s="38" t="str">
        <f t="shared" si="9"/>
        <v/>
      </c>
      <c r="N142" s="47"/>
      <c r="O142" s="48" t="str">
        <f t="shared" si="10"/>
        <v>Sáu</v>
      </c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42">
        <v>24799.0</v>
      </c>
      <c r="B143" s="42" t="s">
        <v>96</v>
      </c>
      <c r="C143" s="42" t="s">
        <v>97</v>
      </c>
      <c r="D143" s="43">
        <v>46256.0</v>
      </c>
      <c r="E143" s="42" t="s">
        <v>136</v>
      </c>
      <c r="F143" s="44">
        <f>IFERROR(__xludf.DUMMYFUNCTION("MIN(ARRAYFORMULA(TIMEVALUE(SPLIT(E143,"" ""))))"),0.3229166666666667)</f>
        <v>0.3229166667</v>
      </c>
      <c r="G143" s="44">
        <f>IFERROR(__xludf.DUMMYFUNCTION("MAX(ARRAYFORMULA(TIMEVALUE(SPLIT(E143,"" ""))))"),0.8131944444444444)</f>
        <v>0.8131944444</v>
      </c>
      <c r="H143" s="45"/>
      <c r="I143" s="45"/>
      <c r="J143" s="46">
        <f t="shared" si="12"/>
        <v>3</v>
      </c>
      <c r="K143" s="27"/>
      <c r="L143" s="51">
        <v>6.0</v>
      </c>
      <c r="M143" s="38" t="str">
        <f t="shared" si="9"/>
        <v/>
      </c>
      <c r="N143" s="47" t="s">
        <v>166</v>
      </c>
      <c r="O143" s="48" t="str">
        <f t="shared" si="10"/>
        <v>Bảy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42">
        <v>24799.0</v>
      </c>
      <c r="B144" s="42" t="s">
        <v>96</v>
      </c>
      <c r="C144" s="42" t="s">
        <v>97</v>
      </c>
      <c r="D144" s="43">
        <v>46258.0</v>
      </c>
      <c r="E144" s="42" t="s">
        <v>167</v>
      </c>
      <c r="F144" s="44">
        <f>IFERROR(__xludf.DUMMYFUNCTION("MIN(ARRAYFORMULA(TIMEVALUE(SPLIT(E144,"" ""))))"),0.30972222222222223)</f>
        <v>0.3097222222</v>
      </c>
      <c r="G144" s="44">
        <f>IFERROR(__xludf.DUMMYFUNCTION("MAX(ARRAYFORMULA(TIMEVALUE(SPLIT(E144,"" ""))))"),0.8145833333333333)</f>
        <v>0.8145833333</v>
      </c>
      <c r="H144" s="45"/>
      <c r="I144" s="45"/>
      <c r="J144" s="46">
        <f t="shared" si="12"/>
        <v>3</v>
      </c>
      <c r="K144" s="27"/>
      <c r="L144" s="38"/>
      <c r="M144" s="38" t="str">
        <f t="shared" si="9"/>
        <v/>
      </c>
      <c r="N144" s="47"/>
      <c r="O144" s="48" t="str">
        <f t="shared" si="10"/>
        <v>Hai</v>
      </c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42">
        <v>24799.0</v>
      </c>
      <c r="B145" s="42" t="s">
        <v>96</v>
      </c>
      <c r="C145" s="42" t="s">
        <v>97</v>
      </c>
      <c r="D145" s="43">
        <v>46259.0</v>
      </c>
      <c r="E145" s="42" t="s">
        <v>86</v>
      </c>
      <c r="F145" s="44">
        <f>IFERROR(__xludf.DUMMYFUNCTION("MIN(ARRAYFORMULA(TIMEVALUE(SPLIT(E145,"" ""))))"),0.3145833333333333)</f>
        <v>0.3145833333</v>
      </c>
      <c r="G145" s="44">
        <f>IFERROR(__xludf.DUMMYFUNCTION("MAX(ARRAYFORMULA(TIMEVALUE(SPLIT(E145,"" ""))))"),0.8125)</f>
        <v>0.8125</v>
      </c>
      <c r="H145" s="45"/>
      <c r="I145" s="45"/>
      <c r="J145" s="46">
        <f t="shared" si="12"/>
        <v>3</v>
      </c>
      <c r="K145" s="27"/>
      <c r="L145" s="38"/>
      <c r="M145" s="38" t="str">
        <f t="shared" si="9"/>
        <v/>
      </c>
      <c r="N145" s="47"/>
      <c r="O145" s="48" t="str">
        <f t="shared" si="10"/>
        <v>Ba</v>
      </c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42">
        <v>24799.0</v>
      </c>
      <c r="B146" s="42" t="s">
        <v>96</v>
      </c>
      <c r="C146" s="42" t="s">
        <v>97</v>
      </c>
      <c r="D146" s="43">
        <v>46260.0</v>
      </c>
      <c r="E146" s="42" t="s">
        <v>168</v>
      </c>
      <c r="F146" s="44">
        <f>IFERROR(__xludf.DUMMYFUNCTION("MIN(ARRAYFORMULA(TIMEVALUE(SPLIT(E146,"" ""))))"),0.5756944444444444)</f>
        <v>0.5756944444</v>
      </c>
      <c r="G146" s="44">
        <f>IFERROR(__xludf.DUMMYFUNCTION("MAX(ARRAYFORMULA(TIMEVALUE(SPLIT(E146,"" ""))))"),0.8125)</f>
        <v>0.8125</v>
      </c>
      <c r="H146" s="45"/>
      <c r="I146" s="45"/>
      <c r="J146" s="55">
        <v>2.0</v>
      </c>
      <c r="K146" s="27"/>
      <c r="L146" s="38"/>
      <c r="M146" s="38" t="str">
        <f t="shared" si="9"/>
        <v/>
      </c>
      <c r="N146" s="47"/>
      <c r="O146" s="48" t="str">
        <f t="shared" si="10"/>
        <v>Tư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42">
        <v>24799.0</v>
      </c>
      <c r="B147" s="42" t="s">
        <v>96</v>
      </c>
      <c r="C147" s="42" t="s">
        <v>97</v>
      </c>
      <c r="D147" s="43">
        <v>46261.0</v>
      </c>
      <c r="E147" s="42" t="s">
        <v>136</v>
      </c>
      <c r="F147" s="44">
        <f>IFERROR(__xludf.DUMMYFUNCTION("MIN(ARRAYFORMULA(TIMEVALUE(SPLIT(E147,"" ""))))"),0.3229166666666667)</f>
        <v>0.3229166667</v>
      </c>
      <c r="G147" s="44">
        <f>IFERROR(__xludf.DUMMYFUNCTION("MAX(ARRAYFORMULA(TIMEVALUE(SPLIT(E147,"" ""))))"),0.8131944444444444)</f>
        <v>0.8131944444</v>
      </c>
      <c r="H147" s="45"/>
      <c r="I147" s="45"/>
      <c r="J147" s="46">
        <f t="shared" ref="J147:J227" si="13">IF(WEEKDAY(D147,2)=7,IF(AND(F147&lt;TIME(8,15,0),G147&gt;=TIME(11,55,0)),1,0)+IF(AND(F147&lt;TIME(13,45,0),G147&gt;=TIME(17,55,0)),1,0),IF(AND(F147&lt;TIME(8,15,0),G147&gt;=TIME(11,55,0)),1,0)+IF(AND(F147&lt;TIME(13,45,0),G147&gt;=TIME(17,25,0)),1,0)+IF(AND(F147&lt;TIME(15,45,0),G147&gt;=TIME(19,25,0)),1,0))</f>
        <v>3</v>
      </c>
      <c r="K147" s="27"/>
      <c r="L147" s="38"/>
      <c r="M147" s="38" t="str">
        <f t="shared" si="9"/>
        <v/>
      </c>
      <c r="N147" s="47"/>
      <c r="O147" s="48" t="str">
        <f t="shared" si="10"/>
        <v>Năm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42">
        <v>24799.0</v>
      </c>
      <c r="B148" s="42" t="s">
        <v>96</v>
      </c>
      <c r="C148" s="42" t="s">
        <v>97</v>
      </c>
      <c r="D148" s="43">
        <v>46264.0</v>
      </c>
      <c r="E148" s="42" t="s">
        <v>169</v>
      </c>
      <c r="F148" s="44">
        <f>IFERROR(__xludf.DUMMYFUNCTION("MIN(ARRAYFORMULA(TIMEVALUE(SPLIT(E148,"" ""))))"),0.325)</f>
        <v>0.325</v>
      </c>
      <c r="G148" s="44">
        <f>IFERROR(__xludf.DUMMYFUNCTION("MAX(ARRAYFORMULA(TIMEVALUE(SPLIT(E148,"" ""))))"),0.75)</f>
        <v>0.75</v>
      </c>
      <c r="H148" s="45"/>
      <c r="I148" s="45"/>
      <c r="J148" s="46">
        <f t="shared" si="13"/>
        <v>2</v>
      </c>
      <c r="K148" s="27"/>
      <c r="L148" s="38"/>
      <c r="M148" s="38">
        <f t="shared" si="9"/>
        <v>1</v>
      </c>
      <c r="N148" s="47"/>
      <c r="O148" s="48" t="str">
        <f t="shared" si="10"/>
        <v>CN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42">
        <v>24799.0</v>
      </c>
      <c r="B149" s="42" t="s">
        <v>96</v>
      </c>
      <c r="C149" s="42" t="s">
        <v>97</v>
      </c>
      <c r="D149" s="43">
        <v>46265.0</v>
      </c>
      <c r="E149" s="42" t="s">
        <v>170</v>
      </c>
      <c r="F149" s="44">
        <f>IFERROR(__xludf.DUMMYFUNCTION("MIN(ARRAYFORMULA(TIMEVALUE(SPLIT(E149,"" ""))))"),0.5576388888888889)</f>
        <v>0.5576388889</v>
      </c>
      <c r="G149" s="44">
        <f>IFERROR(__xludf.DUMMYFUNCTION("MAX(ARRAYFORMULA(TIMEVALUE(SPLIT(E149,"" ""))))"),0.8131944444444444)</f>
        <v>0.8131944444</v>
      </c>
      <c r="H149" s="45"/>
      <c r="I149" s="45"/>
      <c r="J149" s="46">
        <f t="shared" si="13"/>
        <v>2</v>
      </c>
      <c r="K149" s="27"/>
      <c r="L149" s="38"/>
      <c r="M149" s="38" t="str">
        <f t="shared" si="9"/>
        <v/>
      </c>
      <c r="N149" s="47"/>
      <c r="O149" s="48" t="str">
        <f t="shared" si="10"/>
        <v>Hai</v>
      </c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42">
        <v>50472.0</v>
      </c>
      <c r="B150" s="42" t="s">
        <v>54</v>
      </c>
      <c r="C150" s="42" t="s">
        <v>45</v>
      </c>
      <c r="D150" s="43">
        <v>46235.0</v>
      </c>
      <c r="E150" s="42" t="s">
        <v>171</v>
      </c>
      <c r="F150" s="44">
        <f>IFERROR(__xludf.DUMMYFUNCTION("MIN(ARRAYFORMULA(TIMEVALUE(SPLIT(E150,"" ""))))"),0.325)</f>
        <v>0.325</v>
      </c>
      <c r="G150" s="44">
        <f>IFERROR(__xludf.DUMMYFUNCTION("MAX(ARRAYFORMULA(TIMEVALUE(SPLIT(E150,"" ""))))"),0.8125)</f>
        <v>0.8125</v>
      </c>
      <c r="H150" s="45"/>
      <c r="I150" s="45"/>
      <c r="J150" s="46">
        <f t="shared" si="13"/>
        <v>3</v>
      </c>
      <c r="K150" s="27"/>
      <c r="L150" s="38"/>
      <c r="M150" s="38" t="str">
        <f t="shared" si="9"/>
        <v/>
      </c>
      <c r="N150" s="47"/>
      <c r="O150" s="48" t="str">
        <f t="shared" si="10"/>
        <v>Bảy</v>
      </c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42">
        <v>50472.0</v>
      </c>
      <c r="B151" s="42" t="s">
        <v>54</v>
      </c>
      <c r="C151" s="42" t="s">
        <v>45</v>
      </c>
      <c r="D151" s="43">
        <v>46237.0</v>
      </c>
      <c r="E151" s="42" t="s">
        <v>101</v>
      </c>
      <c r="F151" s="44">
        <f>IFERROR(__xludf.DUMMYFUNCTION("MIN(ARRAYFORMULA(TIMEVALUE(SPLIT(E151,"" ""))))"),0.3263888888888889)</f>
        <v>0.3263888889</v>
      </c>
      <c r="G151" s="44">
        <f>IFERROR(__xludf.DUMMYFUNCTION("MAX(ARRAYFORMULA(TIMEVALUE(SPLIT(E151,"" ""))))"),0.8125)</f>
        <v>0.8125</v>
      </c>
      <c r="H151" s="45"/>
      <c r="I151" s="45"/>
      <c r="J151" s="46">
        <f t="shared" si="13"/>
        <v>3</v>
      </c>
      <c r="K151" s="27"/>
      <c r="L151" s="38"/>
      <c r="M151" s="38" t="str">
        <f t="shared" si="9"/>
        <v/>
      </c>
      <c r="N151" s="47"/>
      <c r="O151" s="48" t="str">
        <f t="shared" si="10"/>
        <v>Hai</v>
      </c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42">
        <v>50472.0</v>
      </c>
      <c r="B152" s="42" t="s">
        <v>54</v>
      </c>
      <c r="C152" s="42" t="s">
        <v>45</v>
      </c>
      <c r="D152" s="43">
        <v>46238.0</v>
      </c>
      <c r="E152" s="42" t="s">
        <v>172</v>
      </c>
      <c r="F152" s="44">
        <f>IFERROR(__xludf.DUMMYFUNCTION("MIN(ARRAYFORMULA(TIMEVALUE(SPLIT(E152,"" ""))))"),0.32222222222222224)</f>
        <v>0.3222222222</v>
      </c>
      <c r="G152" s="44">
        <f>IFERROR(__xludf.DUMMYFUNCTION("MAX(ARRAYFORMULA(TIMEVALUE(SPLIT(E152,"" ""))))"),0.8138888888888889)</f>
        <v>0.8138888889</v>
      </c>
      <c r="H152" s="45"/>
      <c r="I152" s="45"/>
      <c r="J152" s="46">
        <f t="shared" si="13"/>
        <v>3</v>
      </c>
      <c r="K152" s="27"/>
      <c r="L152" s="38"/>
      <c r="M152" s="38" t="str">
        <f t="shared" si="9"/>
        <v/>
      </c>
      <c r="N152" s="47"/>
      <c r="O152" s="48" t="str">
        <f t="shared" si="10"/>
        <v>Ba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42">
        <v>50472.0</v>
      </c>
      <c r="B153" s="42" t="s">
        <v>54</v>
      </c>
      <c r="C153" s="42" t="s">
        <v>45</v>
      </c>
      <c r="D153" s="43">
        <v>46239.0</v>
      </c>
      <c r="E153" s="42" t="s">
        <v>173</v>
      </c>
      <c r="F153" s="44">
        <f>IFERROR(__xludf.DUMMYFUNCTION("MIN(ARRAYFORMULA(TIMEVALUE(SPLIT(E153,"" ""))))"),0.32569444444444445)</f>
        <v>0.3256944444</v>
      </c>
      <c r="G153" s="44">
        <f>IFERROR(__xludf.DUMMYFUNCTION("MAX(ARRAYFORMULA(TIMEVALUE(SPLIT(E153,"" ""))))"),0.8152777777777778)</f>
        <v>0.8152777778</v>
      </c>
      <c r="H153" s="45"/>
      <c r="I153" s="45"/>
      <c r="J153" s="46">
        <f t="shared" si="13"/>
        <v>3</v>
      </c>
      <c r="K153" s="27"/>
      <c r="L153" s="38"/>
      <c r="M153" s="38" t="str">
        <f t="shared" si="9"/>
        <v/>
      </c>
      <c r="N153" s="47"/>
      <c r="O153" s="48" t="str">
        <f t="shared" si="10"/>
        <v>Tư</v>
      </c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42">
        <v>50472.0</v>
      </c>
      <c r="B154" s="42" t="s">
        <v>54</v>
      </c>
      <c r="C154" s="42" t="s">
        <v>45</v>
      </c>
      <c r="D154" s="43">
        <v>46240.0</v>
      </c>
      <c r="E154" s="42" t="s">
        <v>174</v>
      </c>
      <c r="F154" s="44">
        <f>IFERROR(__xludf.DUMMYFUNCTION("MIN(ARRAYFORMULA(TIMEVALUE(SPLIT(E154,"" ""))))"),0.32708333333333334)</f>
        <v>0.3270833333</v>
      </c>
      <c r="G154" s="44">
        <f>IFERROR(__xludf.DUMMYFUNCTION("MAX(ARRAYFORMULA(TIMEVALUE(SPLIT(E154,"" ""))))"),0.5340277777777778)</f>
        <v>0.5340277778</v>
      </c>
      <c r="H154" s="45"/>
      <c r="I154" s="45"/>
      <c r="J154" s="46">
        <f t="shared" si="13"/>
        <v>1</v>
      </c>
      <c r="K154" s="27"/>
      <c r="L154" s="38"/>
      <c r="M154" s="38" t="str">
        <f t="shared" si="9"/>
        <v/>
      </c>
      <c r="N154" s="47"/>
      <c r="O154" s="48" t="str">
        <f t="shared" si="10"/>
        <v>Năm</v>
      </c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42">
        <v>50472.0</v>
      </c>
      <c r="B155" s="42" t="s">
        <v>54</v>
      </c>
      <c r="C155" s="42" t="s">
        <v>45</v>
      </c>
      <c r="D155" s="43">
        <v>46241.0</v>
      </c>
      <c r="E155" s="42" t="s">
        <v>171</v>
      </c>
      <c r="F155" s="44">
        <f>IFERROR(__xludf.DUMMYFUNCTION("MIN(ARRAYFORMULA(TIMEVALUE(SPLIT(E155,"" ""))))"),0.325)</f>
        <v>0.325</v>
      </c>
      <c r="G155" s="44">
        <f>IFERROR(__xludf.DUMMYFUNCTION("MAX(ARRAYFORMULA(TIMEVALUE(SPLIT(E155,"" ""))))"),0.8125)</f>
        <v>0.8125</v>
      </c>
      <c r="H155" s="45"/>
      <c r="I155" s="45"/>
      <c r="J155" s="46">
        <f t="shared" si="13"/>
        <v>3</v>
      </c>
      <c r="K155" s="27"/>
      <c r="L155" s="38"/>
      <c r="M155" s="38" t="str">
        <f t="shared" si="9"/>
        <v/>
      </c>
      <c r="N155" s="47"/>
      <c r="O155" s="48" t="str">
        <f t="shared" si="10"/>
        <v>Sáu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42">
        <v>50472.0</v>
      </c>
      <c r="B156" s="42" t="s">
        <v>54</v>
      </c>
      <c r="C156" s="42" t="s">
        <v>45</v>
      </c>
      <c r="D156" s="43">
        <v>46242.0</v>
      </c>
      <c r="E156" s="42" t="s">
        <v>116</v>
      </c>
      <c r="F156" s="44">
        <f>IFERROR(__xludf.DUMMYFUNCTION("MIN(ARRAYFORMULA(TIMEVALUE(SPLIT(E156,"" ""))))"),0.32708333333333334)</f>
        <v>0.3270833333</v>
      </c>
      <c r="G156" s="44">
        <f>IFERROR(__xludf.DUMMYFUNCTION("MAX(ARRAYFORMULA(TIMEVALUE(SPLIT(E156,"" ""))))"),0.8125)</f>
        <v>0.8125</v>
      </c>
      <c r="H156" s="45"/>
      <c r="I156" s="45"/>
      <c r="J156" s="46">
        <f t="shared" si="13"/>
        <v>3</v>
      </c>
      <c r="K156" s="27"/>
      <c r="L156" s="38"/>
      <c r="M156" s="38" t="str">
        <f t="shared" si="9"/>
        <v/>
      </c>
      <c r="N156" s="47"/>
      <c r="O156" s="48" t="str">
        <f t="shared" si="10"/>
        <v>Bảy</v>
      </c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42">
        <v>50472.0</v>
      </c>
      <c r="B157" s="42" t="s">
        <v>54</v>
      </c>
      <c r="C157" s="42" t="s">
        <v>45</v>
      </c>
      <c r="D157" s="43">
        <v>46244.0</v>
      </c>
      <c r="E157" s="42" t="s">
        <v>155</v>
      </c>
      <c r="F157" s="44">
        <f>IFERROR(__xludf.DUMMYFUNCTION("MIN(ARRAYFORMULA(TIMEVALUE(SPLIT(E157,"" ""))))"),0.32916666666666666)</f>
        <v>0.3291666667</v>
      </c>
      <c r="G157" s="44">
        <f>IFERROR(__xludf.DUMMYFUNCTION("MAX(ARRAYFORMULA(TIMEVALUE(SPLIT(E157,"" ""))))"),0.8131944444444444)</f>
        <v>0.8131944444</v>
      </c>
      <c r="H157" s="45"/>
      <c r="I157" s="45"/>
      <c r="J157" s="46">
        <f t="shared" si="13"/>
        <v>3</v>
      </c>
      <c r="K157" s="27"/>
      <c r="L157" s="38"/>
      <c r="M157" s="38" t="str">
        <f t="shared" si="9"/>
        <v/>
      </c>
      <c r="N157" s="47"/>
      <c r="O157" s="48" t="str">
        <f t="shared" si="10"/>
        <v>Hai</v>
      </c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42">
        <v>50472.0</v>
      </c>
      <c r="B158" s="42" t="s">
        <v>54</v>
      </c>
      <c r="C158" s="42" t="s">
        <v>45</v>
      </c>
      <c r="D158" s="43">
        <v>46248.0</v>
      </c>
      <c r="E158" s="42" t="s">
        <v>175</v>
      </c>
      <c r="F158" s="44">
        <f>IFERROR(__xludf.DUMMYFUNCTION("MIN(ARRAYFORMULA(TIMEVALUE(SPLIT(E158,"" ""))))"),0.32708333333333334)</f>
        <v>0.3270833333</v>
      </c>
      <c r="G158" s="44">
        <f>IFERROR(__xludf.DUMMYFUNCTION("MAX(ARRAYFORMULA(TIMEVALUE(SPLIT(E158,"" ""))))"),0.7319444444444444)</f>
        <v>0.7319444444</v>
      </c>
      <c r="H158" s="45"/>
      <c r="I158" s="45"/>
      <c r="J158" s="46">
        <f t="shared" si="13"/>
        <v>2</v>
      </c>
      <c r="K158" s="27"/>
      <c r="L158" s="38"/>
      <c r="M158" s="38" t="str">
        <f t="shared" si="9"/>
        <v/>
      </c>
      <c r="N158" s="47"/>
      <c r="O158" s="48" t="str">
        <f t="shared" si="10"/>
        <v>Sáu</v>
      </c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42">
        <v>50472.0</v>
      </c>
      <c r="B159" s="42" t="s">
        <v>54</v>
      </c>
      <c r="C159" s="42" t="s">
        <v>45</v>
      </c>
      <c r="D159" s="43">
        <v>46249.0</v>
      </c>
      <c r="E159" s="42" t="s">
        <v>176</v>
      </c>
      <c r="F159" s="44">
        <f>IFERROR(__xludf.DUMMYFUNCTION("MIN(ARRAYFORMULA(TIMEVALUE(SPLIT(E159,"" ""))))"),0.33194444444444443)</f>
        <v>0.3319444444</v>
      </c>
      <c r="G159" s="44">
        <f>IFERROR(__xludf.DUMMYFUNCTION("MAX(ARRAYFORMULA(TIMEVALUE(SPLIT(E159,"" ""))))"),0.7298611111111111)</f>
        <v>0.7298611111</v>
      </c>
      <c r="H159" s="45"/>
      <c r="I159" s="45"/>
      <c r="J159" s="46">
        <f t="shared" si="13"/>
        <v>2</v>
      </c>
      <c r="K159" s="27"/>
      <c r="L159" s="38"/>
      <c r="M159" s="38" t="str">
        <f t="shared" si="9"/>
        <v/>
      </c>
      <c r="N159" s="47"/>
      <c r="O159" s="48" t="str">
        <f t="shared" si="10"/>
        <v>Bảy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42">
        <v>50472.0</v>
      </c>
      <c r="B160" s="42" t="s">
        <v>54</v>
      </c>
      <c r="C160" s="42" t="s">
        <v>45</v>
      </c>
      <c r="D160" s="43">
        <v>46250.0</v>
      </c>
      <c r="E160" s="42" t="s">
        <v>177</v>
      </c>
      <c r="F160" s="44">
        <f>IFERROR(__xludf.DUMMYFUNCTION("MIN(ARRAYFORMULA(TIMEVALUE(SPLIT(E160,"" ""))))"),0.32569444444444445)</f>
        <v>0.3256944444</v>
      </c>
      <c r="G160" s="44">
        <f>IFERROR(__xludf.DUMMYFUNCTION("MAX(ARRAYFORMULA(TIMEVALUE(SPLIT(E160,"" ""))))"),0.75625)</f>
        <v>0.75625</v>
      </c>
      <c r="H160" s="45"/>
      <c r="I160" s="45"/>
      <c r="J160" s="46">
        <f t="shared" si="13"/>
        <v>2</v>
      </c>
      <c r="K160" s="27"/>
      <c r="L160" s="38"/>
      <c r="M160" s="38">
        <f t="shared" si="9"/>
        <v>1</v>
      </c>
      <c r="N160" s="47"/>
      <c r="O160" s="48" t="str">
        <f t="shared" si="10"/>
        <v>CN</v>
      </c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42">
        <v>50472.0</v>
      </c>
      <c r="B161" s="42" t="s">
        <v>54</v>
      </c>
      <c r="C161" s="42" t="s">
        <v>45</v>
      </c>
      <c r="D161" s="43">
        <v>46251.0</v>
      </c>
      <c r="E161" s="42" t="s">
        <v>178</v>
      </c>
      <c r="F161" s="44">
        <f>IFERROR(__xludf.DUMMYFUNCTION("MIN(ARRAYFORMULA(TIMEVALUE(SPLIT(E161,"" ""))))"),0.3263888888888889)</f>
        <v>0.3263888889</v>
      </c>
      <c r="G161" s="44">
        <f>IFERROR(__xludf.DUMMYFUNCTION("MAX(ARRAYFORMULA(TIMEVALUE(SPLIT(E161,"" ""))))"),0.8194444444444444)</f>
        <v>0.8194444444</v>
      </c>
      <c r="H161" s="45"/>
      <c r="I161" s="45"/>
      <c r="J161" s="46">
        <f t="shared" si="13"/>
        <v>3</v>
      </c>
      <c r="K161" s="27"/>
      <c r="L161" s="38"/>
      <c r="M161" s="38" t="str">
        <f t="shared" si="9"/>
        <v/>
      </c>
      <c r="N161" s="47"/>
      <c r="O161" s="48" t="str">
        <f t="shared" si="10"/>
        <v>Hai</v>
      </c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42">
        <v>50472.0</v>
      </c>
      <c r="B162" s="42" t="s">
        <v>54</v>
      </c>
      <c r="C162" s="42" t="s">
        <v>45</v>
      </c>
      <c r="D162" s="43">
        <v>46252.0</v>
      </c>
      <c r="E162" s="42" t="s">
        <v>179</v>
      </c>
      <c r="F162" s="44">
        <f>IFERROR(__xludf.DUMMYFUNCTION("MIN(ARRAYFORMULA(TIMEVALUE(SPLIT(E162,"" ""))))"),0.32013888888888886)</f>
        <v>0.3201388889</v>
      </c>
      <c r="G162" s="44">
        <f>IFERROR(__xludf.DUMMYFUNCTION("MAX(ARRAYFORMULA(TIMEVALUE(SPLIT(E162,"" ""))))"),0.8138888888888889)</f>
        <v>0.8138888889</v>
      </c>
      <c r="H162" s="45"/>
      <c r="I162" s="45"/>
      <c r="J162" s="46">
        <f t="shared" si="13"/>
        <v>3</v>
      </c>
      <c r="K162" s="27"/>
      <c r="L162" s="38"/>
      <c r="M162" s="38" t="str">
        <f t="shared" si="9"/>
        <v/>
      </c>
      <c r="N162" s="47"/>
      <c r="O162" s="48" t="str">
        <f t="shared" si="10"/>
        <v>Ba</v>
      </c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42">
        <v>50472.0</v>
      </c>
      <c r="B163" s="42" t="s">
        <v>54</v>
      </c>
      <c r="C163" s="42" t="s">
        <v>45</v>
      </c>
      <c r="D163" s="43">
        <v>46253.0</v>
      </c>
      <c r="E163" s="42" t="s">
        <v>180</v>
      </c>
      <c r="F163" s="44">
        <f>IFERROR(__xludf.DUMMYFUNCTION("MIN(ARRAYFORMULA(TIMEVALUE(SPLIT(E163,"" ""))))"),0.32916666666666666)</f>
        <v>0.3291666667</v>
      </c>
      <c r="G163" s="44">
        <f>IFERROR(__xludf.DUMMYFUNCTION("MAX(ARRAYFORMULA(TIMEVALUE(SPLIT(E163,"" ""))))"),0.8138888888888889)</f>
        <v>0.8138888889</v>
      </c>
      <c r="H163" s="45"/>
      <c r="I163" s="45"/>
      <c r="J163" s="46">
        <f t="shared" si="13"/>
        <v>3</v>
      </c>
      <c r="K163" s="27"/>
      <c r="L163" s="38"/>
      <c r="M163" s="38" t="str">
        <f t="shared" si="9"/>
        <v/>
      </c>
      <c r="N163" s="47"/>
      <c r="O163" s="48" t="str">
        <f t="shared" si="10"/>
        <v>Tư</v>
      </c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42">
        <v>50472.0</v>
      </c>
      <c r="B164" s="42" t="s">
        <v>54</v>
      </c>
      <c r="C164" s="42" t="s">
        <v>45</v>
      </c>
      <c r="D164" s="43">
        <v>46254.0</v>
      </c>
      <c r="E164" s="42" t="s">
        <v>181</v>
      </c>
      <c r="F164" s="44">
        <f>IFERROR(__xludf.DUMMYFUNCTION("MIN(ARRAYFORMULA(TIMEVALUE(SPLIT(E164,"" ""))))"),0.3263888888888889)</f>
        <v>0.3263888889</v>
      </c>
      <c r="G164" s="44">
        <f>IFERROR(__xludf.DUMMYFUNCTION("MAX(ARRAYFORMULA(TIMEVALUE(SPLIT(E164,"" ""))))"),0.5305555555555556)</f>
        <v>0.5305555556</v>
      </c>
      <c r="H164" s="45"/>
      <c r="I164" s="45"/>
      <c r="J164" s="46">
        <f t="shared" si="13"/>
        <v>1</v>
      </c>
      <c r="K164" s="27"/>
      <c r="L164" s="38"/>
      <c r="M164" s="38" t="str">
        <f t="shared" si="9"/>
        <v/>
      </c>
      <c r="N164" s="47"/>
      <c r="O164" s="48" t="str">
        <f t="shared" si="10"/>
        <v>Năm</v>
      </c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42">
        <v>50472.0</v>
      </c>
      <c r="B165" s="42" t="s">
        <v>54</v>
      </c>
      <c r="C165" s="42" t="s">
        <v>45</v>
      </c>
      <c r="D165" s="43">
        <v>46255.0</v>
      </c>
      <c r="E165" s="42" t="s">
        <v>105</v>
      </c>
      <c r="F165" s="44">
        <f>IFERROR(__xludf.DUMMYFUNCTION("MIN(ARRAYFORMULA(TIMEVALUE(SPLIT(E165,"" ""))))"),0.32569444444444445)</f>
        <v>0.3256944444</v>
      </c>
      <c r="G165" s="44">
        <f>IFERROR(__xludf.DUMMYFUNCTION("MAX(ARRAYFORMULA(TIMEVALUE(SPLIT(E165,"" ""))))"),0.8125)</f>
        <v>0.8125</v>
      </c>
      <c r="H165" s="45"/>
      <c r="I165" s="45"/>
      <c r="J165" s="46">
        <f t="shared" si="13"/>
        <v>3</v>
      </c>
      <c r="K165" s="27"/>
      <c r="L165" s="38"/>
      <c r="M165" s="38" t="str">
        <f t="shared" si="9"/>
        <v/>
      </c>
      <c r="N165" s="47"/>
      <c r="O165" s="48" t="str">
        <f t="shared" si="10"/>
        <v>Sáu</v>
      </c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42">
        <v>50472.0</v>
      </c>
      <c r="B166" s="42" t="s">
        <v>54</v>
      </c>
      <c r="C166" s="42" t="s">
        <v>45</v>
      </c>
      <c r="D166" s="43">
        <v>46256.0</v>
      </c>
      <c r="E166" s="42" t="s">
        <v>182</v>
      </c>
      <c r="F166" s="44">
        <f>IFERROR(__xludf.DUMMYFUNCTION("MIN(ARRAYFORMULA(TIMEVALUE(SPLIT(E166,"" ""))))"),0.325)</f>
        <v>0.325</v>
      </c>
      <c r="G166" s="44">
        <f>IFERROR(__xludf.DUMMYFUNCTION("MAX(ARRAYFORMULA(TIMEVALUE(SPLIT(E166,"" ""))))"),0.8131944444444444)</f>
        <v>0.8131944444</v>
      </c>
      <c r="H166" s="45"/>
      <c r="I166" s="45"/>
      <c r="J166" s="46">
        <f t="shared" si="13"/>
        <v>3</v>
      </c>
      <c r="K166" s="27"/>
      <c r="L166" s="51">
        <v>5.0</v>
      </c>
      <c r="M166" s="38" t="str">
        <f t="shared" si="9"/>
        <v/>
      </c>
      <c r="N166" s="47" t="s">
        <v>183</v>
      </c>
      <c r="O166" s="48" t="str">
        <f t="shared" si="10"/>
        <v>Bảy</v>
      </c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42">
        <v>50472.0</v>
      </c>
      <c r="B167" s="42" t="s">
        <v>54</v>
      </c>
      <c r="C167" s="42" t="s">
        <v>45</v>
      </c>
      <c r="D167" s="43">
        <v>46260.0</v>
      </c>
      <c r="E167" s="42" t="s">
        <v>184</v>
      </c>
      <c r="F167" s="44">
        <f>IFERROR(__xludf.DUMMYFUNCTION("MIN(ARRAYFORMULA(TIMEVALUE(SPLIT(E167,"" ""))))"),0.5472222222222223)</f>
        <v>0.5472222222</v>
      </c>
      <c r="G167" s="44">
        <f>IFERROR(__xludf.DUMMYFUNCTION("MAX(ARRAYFORMULA(TIMEVALUE(SPLIT(E167,"" ""))))"),0.8131944444444444)</f>
        <v>0.8131944444</v>
      </c>
      <c r="H167" s="45"/>
      <c r="I167" s="45"/>
      <c r="J167" s="46">
        <f t="shared" si="13"/>
        <v>2</v>
      </c>
      <c r="K167" s="27"/>
      <c r="L167" s="38"/>
      <c r="M167" s="38" t="str">
        <f t="shared" si="9"/>
        <v/>
      </c>
      <c r="N167" s="47"/>
      <c r="O167" s="48" t="str">
        <f t="shared" si="10"/>
        <v>Tư</v>
      </c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42">
        <v>50472.0</v>
      </c>
      <c r="B168" s="42" t="s">
        <v>54</v>
      </c>
      <c r="C168" s="42" t="s">
        <v>45</v>
      </c>
      <c r="D168" s="43">
        <v>46261.0</v>
      </c>
      <c r="E168" s="42" t="s">
        <v>134</v>
      </c>
      <c r="F168" s="44">
        <f>IFERROR(__xludf.DUMMYFUNCTION("MIN(ARRAYFORMULA(TIMEVALUE(SPLIT(E168,"" ""))))"),0.33125)</f>
        <v>0.33125</v>
      </c>
      <c r="G168" s="44">
        <f>IFERROR(__xludf.DUMMYFUNCTION("MAX(ARRAYFORMULA(TIMEVALUE(SPLIT(E168,"" ""))))"),0.8125)</f>
        <v>0.8125</v>
      </c>
      <c r="H168" s="45"/>
      <c r="I168" s="45"/>
      <c r="J168" s="46">
        <f t="shared" si="13"/>
        <v>3</v>
      </c>
      <c r="K168" s="27"/>
      <c r="L168" s="38"/>
      <c r="M168" s="38" t="str">
        <f t="shared" si="9"/>
        <v/>
      </c>
      <c r="N168" s="47"/>
      <c r="O168" s="48" t="str">
        <f t="shared" si="10"/>
        <v>Năm</v>
      </c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42">
        <v>50472.0</v>
      </c>
      <c r="B169" s="42" t="s">
        <v>54</v>
      </c>
      <c r="C169" s="42" t="s">
        <v>45</v>
      </c>
      <c r="D169" s="43">
        <v>46262.0</v>
      </c>
      <c r="E169" s="42" t="s">
        <v>185</v>
      </c>
      <c r="F169" s="44">
        <f>IFERROR(__xludf.DUMMYFUNCTION("MIN(ARRAYFORMULA(TIMEVALUE(SPLIT(E169,"" ""))))"),0.33055555555555555)</f>
        <v>0.3305555556</v>
      </c>
      <c r="G169" s="44">
        <f>IFERROR(__xludf.DUMMYFUNCTION("MAX(ARRAYFORMULA(TIMEVALUE(SPLIT(E169,"" ""))))"),0.8125)</f>
        <v>0.8125</v>
      </c>
      <c r="H169" s="45"/>
      <c r="I169" s="45"/>
      <c r="J169" s="46">
        <f t="shared" si="13"/>
        <v>3</v>
      </c>
      <c r="K169" s="27"/>
      <c r="L169" s="38"/>
      <c r="M169" s="38" t="str">
        <f t="shared" si="9"/>
        <v/>
      </c>
      <c r="N169" s="47"/>
      <c r="O169" s="48" t="str">
        <f t="shared" si="10"/>
        <v>Sáu</v>
      </c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42">
        <v>50472.0</v>
      </c>
      <c r="B170" s="42" t="s">
        <v>54</v>
      </c>
      <c r="C170" s="42" t="s">
        <v>45</v>
      </c>
      <c r="D170" s="43">
        <v>46263.0</v>
      </c>
      <c r="E170" s="42" t="s">
        <v>186</v>
      </c>
      <c r="F170" s="44">
        <f>IFERROR(__xludf.DUMMYFUNCTION("MIN(ARRAYFORMULA(TIMEVALUE(SPLIT(E170,"" ""))))"),0.33125)</f>
        <v>0.33125</v>
      </c>
      <c r="G170" s="44">
        <f>IFERROR(__xludf.DUMMYFUNCTION("MAX(ARRAYFORMULA(TIMEVALUE(SPLIT(E170,"" ""))))"),0.8125)</f>
        <v>0.8125</v>
      </c>
      <c r="H170" s="45"/>
      <c r="I170" s="45"/>
      <c r="J170" s="46">
        <f t="shared" si="13"/>
        <v>3</v>
      </c>
      <c r="K170" s="27"/>
      <c r="L170" s="38"/>
      <c r="M170" s="38" t="str">
        <f t="shared" si="9"/>
        <v/>
      </c>
      <c r="N170" s="47"/>
      <c r="O170" s="48" t="str">
        <f t="shared" si="10"/>
        <v>Bảy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42">
        <v>50472.0</v>
      </c>
      <c r="B171" s="42" t="s">
        <v>54</v>
      </c>
      <c r="C171" s="42" t="s">
        <v>45</v>
      </c>
      <c r="D171" s="43">
        <v>46265.0</v>
      </c>
      <c r="E171" s="42" t="s">
        <v>187</v>
      </c>
      <c r="F171" s="44">
        <f>IFERROR(__xludf.DUMMYFUNCTION("MIN(ARRAYFORMULA(TIMEVALUE(SPLIT(E171,"" ""))))"),0.32708333333333334)</f>
        <v>0.3270833333</v>
      </c>
      <c r="G171" s="44">
        <f>IFERROR(__xludf.DUMMYFUNCTION("MAX(ARRAYFORMULA(TIMEVALUE(SPLIT(E171,"" ""))))"),0.8138888888888889)</f>
        <v>0.8138888889</v>
      </c>
      <c r="H171" s="45"/>
      <c r="I171" s="45"/>
      <c r="J171" s="46">
        <f t="shared" si="13"/>
        <v>3</v>
      </c>
      <c r="K171" s="27"/>
      <c r="L171" s="38"/>
      <c r="M171" s="38" t="str">
        <f t="shared" si="9"/>
        <v/>
      </c>
      <c r="N171" s="47"/>
      <c r="O171" s="48" t="str">
        <f t="shared" si="10"/>
        <v>Hai</v>
      </c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idden="1">
      <c r="A172" s="26">
        <v>9.63359959E8</v>
      </c>
      <c r="B172" s="26" t="s">
        <v>188</v>
      </c>
      <c r="C172" s="26" t="s">
        <v>45</v>
      </c>
      <c r="D172" s="28">
        <v>46235.0</v>
      </c>
      <c r="E172" s="26" t="s">
        <v>189</v>
      </c>
      <c r="F172" s="30">
        <f>IFERROR(__xludf.DUMMYFUNCTION("MIN(ARRAYFORMULA(TIMEVALUE(SPLIT(E172,"" ""))))"),0.31805555555555554)</f>
        <v>0.3180555556</v>
      </c>
      <c r="G172" s="30">
        <f>IFERROR(__xludf.DUMMYFUNCTION("MAX(ARRAYFORMULA(TIMEVALUE(SPLIT(E172,"" ""))))"),0.7625)</f>
        <v>0.7625</v>
      </c>
      <c r="H172" s="31"/>
      <c r="I172" s="31"/>
      <c r="J172" s="39">
        <f t="shared" si="13"/>
        <v>2</v>
      </c>
      <c r="K172" s="40"/>
      <c r="L172" s="31"/>
      <c r="M172" s="31" t="str">
        <f t="shared" si="9"/>
        <v/>
      </c>
      <c r="N172" s="26" t="s">
        <v>28</v>
      </c>
      <c r="O172" s="41"/>
      <c r="P172" s="41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idden="1">
      <c r="A173" s="26">
        <v>9.63359959E8</v>
      </c>
      <c r="B173" s="26" t="s">
        <v>188</v>
      </c>
      <c r="C173" s="26" t="s">
        <v>45</v>
      </c>
      <c r="D173" s="28">
        <v>46238.0</v>
      </c>
      <c r="E173" s="26" t="s">
        <v>190</v>
      </c>
      <c r="F173" s="30">
        <f>IFERROR(__xludf.DUMMYFUNCTION("MIN(ARRAYFORMULA(TIMEVALUE(SPLIT(E173,"" ""))))"),0.32083333333333336)</f>
        <v>0.3208333333</v>
      </c>
      <c r="G173" s="30">
        <f>IFERROR(__xludf.DUMMYFUNCTION("MAX(ARRAYFORMULA(TIMEVALUE(SPLIT(E173,"" ""))))"),0.8125)</f>
        <v>0.8125</v>
      </c>
      <c r="H173" s="31"/>
      <c r="I173" s="31"/>
      <c r="J173" s="39">
        <f t="shared" si="13"/>
        <v>3</v>
      </c>
      <c r="K173" s="40"/>
      <c r="L173" s="31"/>
      <c r="M173" s="31" t="str">
        <f t="shared" si="9"/>
        <v/>
      </c>
      <c r="N173" s="26" t="s">
        <v>28</v>
      </c>
      <c r="O173" s="41"/>
      <c r="P173" s="41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idden="1">
      <c r="A174" s="26">
        <v>9.63359959E8</v>
      </c>
      <c r="B174" s="26" t="s">
        <v>188</v>
      </c>
      <c r="C174" s="26" t="s">
        <v>45</v>
      </c>
      <c r="D174" s="28">
        <v>46239.0</v>
      </c>
      <c r="E174" s="26" t="s">
        <v>191</v>
      </c>
      <c r="F174" s="30">
        <f>IFERROR(__xludf.DUMMYFUNCTION("MIN(ARRAYFORMULA(TIMEVALUE(SPLIT(E174,"" ""))))"),0.3236111111111111)</f>
        <v>0.3236111111</v>
      </c>
      <c r="G174" s="30">
        <f>IFERROR(__xludf.DUMMYFUNCTION("MAX(ARRAYFORMULA(TIMEVALUE(SPLIT(E174,"" ""))))"),0.8131944444444444)</f>
        <v>0.8131944444</v>
      </c>
      <c r="H174" s="31"/>
      <c r="I174" s="31"/>
      <c r="J174" s="39">
        <f t="shared" si="13"/>
        <v>3</v>
      </c>
      <c r="K174" s="40"/>
      <c r="L174" s="31"/>
      <c r="M174" s="31" t="str">
        <f t="shared" si="9"/>
        <v/>
      </c>
      <c r="N174" s="26" t="s">
        <v>28</v>
      </c>
      <c r="O174" s="41"/>
      <c r="P174" s="41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idden="1">
      <c r="A175" s="26">
        <v>9.63359959E8</v>
      </c>
      <c r="B175" s="26" t="s">
        <v>188</v>
      </c>
      <c r="C175" s="26" t="s">
        <v>45</v>
      </c>
      <c r="D175" s="28">
        <v>46240.0</v>
      </c>
      <c r="E175" s="26" t="s">
        <v>192</v>
      </c>
      <c r="F175" s="30">
        <f>IFERROR(__xludf.DUMMYFUNCTION("MIN(ARRAYFORMULA(TIMEVALUE(SPLIT(E175,"" ""))))"),0.31805555555555554)</f>
        <v>0.3180555556</v>
      </c>
      <c r="G175" s="30">
        <f>IFERROR(__xludf.DUMMYFUNCTION("MAX(ARRAYFORMULA(TIMEVALUE(SPLIT(E175,"" ""))))"),0.73125)</f>
        <v>0.73125</v>
      </c>
      <c r="H175" s="31"/>
      <c r="I175" s="31"/>
      <c r="J175" s="39">
        <f t="shared" si="13"/>
        <v>2</v>
      </c>
      <c r="K175" s="40"/>
      <c r="L175" s="31"/>
      <c r="M175" s="31" t="str">
        <f t="shared" si="9"/>
        <v/>
      </c>
      <c r="N175" s="26" t="s">
        <v>28</v>
      </c>
      <c r="O175" s="41"/>
      <c r="P175" s="41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idden="1">
      <c r="A176" s="42">
        <v>59959.0</v>
      </c>
      <c r="B176" s="42" t="s">
        <v>188</v>
      </c>
      <c r="C176" s="42" t="s">
        <v>45</v>
      </c>
      <c r="D176" s="43">
        <v>46241.0</v>
      </c>
      <c r="E176" s="42" t="s">
        <v>193</v>
      </c>
      <c r="F176" s="44">
        <f>IFERROR(__xludf.DUMMYFUNCTION("MIN(ARRAYFORMULA(TIMEVALUE(SPLIT(E176,"" ""))))"),0.325)</f>
        <v>0.325</v>
      </c>
      <c r="G176" s="44">
        <f>IFERROR(__xludf.DUMMYFUNCTION("MAX(ARRAYFORMULA(TIMEVALUE(SPLIT(E176,"" ""))))"),0.7430555555555556)</f>
        <v>0.7430555556</v>
      </c>
      <c r="H176" s="45"/>
      <c r="I176" s="45"/>
      <c r="J176" s="46">
        <f t="shared" si="13"/>
        <v>2</v>
      </c>
      <c r="K176" s="27"/>
      <c r="L176" s="38"/>
      <c r="M176" s="38" t="str">
        <f t="shared" si="9"/>
        <v/>
      </c>
      <c r="N176" s="47"/>
      <c r="O176" s="48" t="str">
        <f>CHOOSE(WEEKDAY(D176,2),"Hai","Ba","Tư","Năm","Sáu","Bảy","CN")</f>
        <v>Sáu</v>
      </c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idden="1">
      <c r="A177" s="26">
        <v>9.63359959E8</v>
      </c>
      <c r="B177" s="26" t="s">
        <v>188</v>
      </c>
      <c r="C177" s="26" t="s">
        <v>45</v>
      </c>
      <c r="D177" s="28">
        <v>46242.0</v>
      </c>
      <c r="E177" s="26" t="s">
        <v>194</v>
      </c>
      <c r="F177" s="30">
        <f>IFERROR(__xludf.DUMMYFUNCTION("MIN(ARRAYFORMULA(TIMEVALUE(SPLIT(E177,"" ""))))"),0.32083333333333336)</f>
        <v>0.3208333333</v>
      </c>
      <c r="G177" s="30">
        <f>IFERROR(__xludf.DUMMYFUNCTION("MAX(ARRAYFORMULA(TIMEVALUE(SPLIT(E177,"" ""))))"),0.7520833333333333)</f>
        <v>0.7520833333</v>
      </c>
      <c r="H177" s="31"/>
      <c r="I177" s="31"/>
      <c r="J177" s="39">
        <f t="shared" si="13"/>
        <v>2</v>
      </c>
      <c r="K177" s="40"/>
      <c r="L177" s="31"/>
      <c r="M177" s="31" t="str">
        <f t="shared" si="9"/>
        <v/>
      </c>
      <c r="N177" s="26" t="s">
        <v>28</v>
      </c>
      <c r="O177" s="41"/>
      <c r="P177" s="41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idden="1">
      <c r="A178" s="26">
        <v>9.63359959E8</v>
      </c>
      <c r="B178" s="26" t="s">
        <v>188</v>
      </c>
      <c r="C178" s="26" t="s">
        <v>45</v>
      </c>
      <c r="D178" s="28">
        <v>46244.0</v>
      </c>
      <c r="E178" s="30">
        <v>0.33194444444444443</v>
      </c>
      <c r="F178" s="30">
        <f>IFERROR(__xludf.DUMMYFUNCTION("MIN(ARRAYFORMULA(TIMEVALUE(SPLIT(E178,"" ""))))"),0.33194444444444443)</f>
        <v>0.3319444444</v>
      </c>
      <c r="G178" s="30">
        <f>IFERROR(__xludf.DUMMYFUNCTION("MAX(ARRAYFORMULA(TIMEVALUE(SPLIT(E178,"" ""))))"),0.33194444444444443)</f>
        <v>0.3319444444</v>
      </c>
      <c r="H178" s="31"/>
      <c r="I178" s="31"/>
      <c r="J178" s="39">
        <f t="shared" si="13"/>
        <v>0</v>
      </c>
      <c r="K178" s="40"/>
      <c r="L178" s="31"/>
      <c r="M178" s="31" t="str">
        <f t="shared" si="9"/>
        <v/>
      </c>
      <c r="N178" s="26" t="s">
        <v>28</v>
      </c>
      <c r="O178" s="41"/>
      <c r="P178" s="41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idden="1">
      <c r="A179" s="26">
        <v>9.63359959E8</v>
      </c>
      <c r="B179" s="26" t="s">
        <v>188</v>
      </c>
      <c r="C179" s="26" t="s">
        <v>45</v>
      </c>
      <c r="D179" s="28">
        <v>46249.0</v>
      </c>
      <c r="E179" s="26" t="s">
        <v>195</v>
      </c>
      <c r="F179" s="30">
        <f>IFERROR(__xludf.DUMMYFUNCTION("MIN(ARRAYFORMULA(TIMEVALUE(SPLIT(E179,"" ""))))"),0.3194444444444444)</f>
        <v>0.3194444444</v>
      </c>
      <c r="G179" s="30">
        <f>IFERROR(__xludf.DUMMYFUNCTION("MAX(ARRAYFORMULA(TIMEVALUE(SPLIT(E179,"" ""))))"),0.7354166666666667)</f>
        <v>0.7354166667</v>
      </c>
      <c r="H179" s="31"/>
      <c r="I179" s="31"/>
      <c r="J179" s="39">
        <f t="shared" si="13"/>
        <v>2</v>
      </c>
      <c r="K179" s="40"/>
      <c r="L179" s="31"/>
      <c r="M179" s="31" t="str">
        <f t="shared" si="9"/>
        <v/>
      </c>
      <c r="N179" s="26" t="s">
        <v>28</v>
      </c>
      <c r="O179" s="41"/>
      <c r="P179" s="41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idden="1">
      <c r="A180" s="42">
        <v>59959.0</v>
      </c>
      <c r="B180" s="42" t="s">
        <v>188</v>
      </c>
      <c r="C180" s="42" t="s">
        <v>45</v>
      </c>
      <c r="D180" s="43">
        <v>46251.0</v>
      </c>
      <c r="E180" s="42" t="s">
        <v>196</v>
      </c>
      <c r="F180" s="44">
        <f>IFERROR(__xludf.DUMMYFUNCTION("MIN(ARRAYFORMULA(TIMEVALUE(SPLIT(E180,"" ""))))"),0.3263888888888889)</f>
        <v>0.3263888889</v>
      </c>
      <c r="G180" s="44">
        <f>IFERROR(__xludf.DUMMYFUNCTION("MAX(ARRAYFORMULA(TIMEVALUE(SPLIT(E180,"" ""))))"),0.7368055555555556)</f>
        <v>0.7368055556</v>
      </c>
      <c r="H180" s="45"/>
      <c r="I180" s="45"/>
      <c r="J180" s="46">
        <f t="shared" si="13"/>
        <v>2</v>
      </c>
      <c r="K180" s="27"/>
      <c r="L180" s="38"/>
      <c r="M180" s="38" t="str">
        <f t="shared" si="9"/>
        <v/>
      </c>
      <c r="N180" s="47"/>
      <c r="O180" s="48" t="str">
        <f>CHOOSE(WEEKDAY(D180,2),"Hai","Ba","Tư","Năm","Sáu","Bảy","CN")</f>
        <v>Hai</v>
      </c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idden="1">
      <c r="A181" s="26">
        <v>9.63359959E8</v>
      </c>
      <c r="B181" s="26" t="s">
        <v>188</v>
      </c>
      <c r="C181" s="26" t="s">
        <v>45</v>
      </c>
      <c r="D181" s="28">
        <v>46252.0</v>
      </c>
      <c r="E181" s="26" t="s">
        <v>197</v>
      </c>
      <c r="F181" s="30">
        <f>IFERROR(__xludf.DUMMYFUNCTION("MIN(ARRAYFORMULA(TIMEVALUE(SPLIT(E181,"" ""))))"),0.3215277777777778)</f>
        <v>0.3215277778</v>
      </c>
      <c r="G181" s="30">
        <f>IFERROR(__xludf.DUMMYFUNCTION("MAX(ARRAYFORMULA(TIMEVALUE(SPLIT(E181,"" ""))))"),0.8131944444444444)</f>
        <v>0.8131944444</v>
      </c>
      <c r="H181" s="31"/>
      <c r="I181" s="31"/>
      <c r="J181" s="39">
        <f t="shared" si="13"/>
        <v>3</v>
      </c>
      <c r="K181" s="40"/>
      <c r="L181" s="31"/>
      <c r="M181" s="31" t="str">
        <f t="shared" si="9"/>
        <v/>
      </c>
      <c r="N181" s="26" t="s">
        <v>28</v>
      </c>
      <c r="O181" s="41"/>
      <c r="P181" s="41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idden="1">
      <c r="A182" s="26">
        <v>9.63359959E8</v>
      </c>
      <c r="B182" s="26" t="s">
        <v>188</v>
      </c>
      <c r="C182" s="26" t="s">
        <v>45</v>
      </c>
      <c r="D182" s="28">
        <v>46253.0</v>
      </c>
      <c r="E182" s="26" t="s">
        <v>198</v>
      </c>
      <c r="F182" s="30">
        <f>IFERROR(__xludf.DUMMYFUNCTION("MIN(ARRAYFORMULA(TIMEVALUE(SPLIT(E182,"" ""))))"),0.32013888888888886)</f>
        <v>0.3201388889</v>
      </c>
      <c r="G182" s="30">
        <f>IFERROR(__xludf.DUMMYFUNCTION("MAX(ARRAYFORMULA(TIMEVALUE(SPLIT(E182,"" ""))))"),0.8131944444444444)</f>
        <v>0.8131944444</v>
      </c>
      <c r="H182" s="31"/>
      <c r="I182" s="31"/>
      <c r="J182" s="39">
        <f t="shared" si="13"/>
        <v>3</v>
      </c>
      <c r="K182" s="40"/>
      <c r="L182" s="31"/>
      <c r="M182" s="31" t="str">
        <f t="shared" si="9"/>
        <v/>
      </c>
      <c r="N182" s="26" t="s">
        <v>28</v>
      </c>
      <c r="O182" s="41"/>
      <c r="P182" s="41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idden="1">
      <c r="A183" s="26">
        <v>9.63359959E8</v>
      </c>
      <c r="B183" s="26" t="s">
        <v>188</v>
      </c>
      <c r="C183" s="26" t="s">
        <v>45</v>
      </c>
      <c r="D183" s="28">
        <v>46254.0</v>
      </c>
      <c r="E183" s="30">
        <v>0.32430555555555557</v>
      </c>
      <c r="F183" s="30">
        <f>IFERROR(__xludf.DUMMYFUNCTION("MIN(ARRAYFORMULA(TIMEVALUE(SPLIT(E183,"" ""))))"),0.32430555555555557)</f>
        <v>0.3243055556</v>
      </c>
      <c r="G183" s="30">
        <f>IFERROR(__xludf.DUMMYFUNCTION("MAX(ARRAYFORMULA(TIMEVALUE(SPLIT(E183,"" ""))))"),0.32430555555555557)</f>
        <v>0.3243055556</v>
      </c>
      <c r="H183" s="31"/>
      <c r="I183" s="31"/>
      <c r="J183" s="39">
        <f t="shared" si="13"/>
        <v>0</v>
      </c>
      <c r="K183" s="40"/>
      <c r="L183" s="31"/>
      <c r="M183" s="31" t="str">
        <f t="shared" si="9"/>
        <v/>
      </c>
      <c r="N183" s="26" t="s">
        <v>28</v>
      </c>
      <c r="O183" s="41"/>
      <c r="P183" s="41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idden="1">
      <c r="A184" s="26">
        <v>9.63359959E8</v>
      </c>
      <c r="B184" s="26" t="s">
        <v>188</v>
      </c>
      <c r="C184" s="26" t="s">
        <v>45</v>
      </c>
      <c r="D184" s="28">
        <v>46255.0</v>
      </c>
      <c r="E184" s="26" t="s">
        <v>199</v>
      </c>
      <c r="F184" s="30">
        <f>IFERROR(__xludf.DUMMYFUNCTION("MIN(ARRAYFORMULA(TIMEVALUE(SPLIT(E184,"" ""))))"),0.3229166666666667)</f>
        <v>0.3229166667</v>
      </c>
      <c r="G184" s="30">
        <f>IFERROR(__xludf.DUMMYFUNCTION("MAX(ARRAYFORMULA(TIMEVALUE(SPLIT(E184,"" ""))))"),0.8159722222222222)</f>
        <v>0.8159722222</v>
      </c>
      <c r="H184" s="31"/>
      <c r="I184" s="31"/>
      <c r="J184" s="39">
        <f t="shared" si="13"/>
        <v>3</v>
      </c>
      <c r="K184" s="40"/>
      <c r="L184" s="31"/>
      <c r="M184" s="31" t="str">
        <f t="shared" si="9"/>
        <v/>
      </c>
      <c r="N184" s="26" t="s">
        <v>28</v>
      </c>
      <c r="O184" s="41"/>
      <c r="P184" s="41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idden="1">
      <c r="A185" s="26">
        <v>9.63359959E8</v>
      </c>
      <c r="B185" s="26" t="s">
        <v>188</v>
      </c>
      <c r="C185" s="26" t="s">
        <v>45</v>
      </c>
      <c r="D185" s="28">
        <v>46256.0</v>
      </c>
      <c r="E185" s="26" t="s">
        <v>200</v>
      </c>
      <c r="F185" s="30">
        <f>IFERROR(__xludf.DUMMYFUNCTION("MIN(ARRAYFORMULA(TIMEVALUE(SPLIT(E185,"" ""))))"),0.3263888888888889)</f>
        <v>0.3263888889</v>
      </c>
      <c r="G185" s="30">
        <f>IFERROR(__xludf.DUMMYFUNCTION("MAX(ARRAYFORMULA(TIMEVALUE(SPLIT(E185,"" ""))))"),0.8138888888888889)</f>
        <v>0.8138888889</v>
      </c>
      <c r="H185" s="31"/>
      <c r="I185" s="31"/>
      <c r="J185" s="39">
        <f t="shared" si="13"/>
        <v>3</v>
      </c>
      <c r="K185" s="40"/>
      <c r="L185" s="31"/>
      <c r="M185" s="31" t="str">
        <f t="shared" si="9"/>
        <v/>
      </c>
      <c r="N185" s="26" t="s">
        <v>28</v>
      </c>
      <c r="O185" s="41"/>
      <c r="P185" s="41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idden="1">
      <c r="A186" s="42">
        <v>59959.0</v>
      </c>
      <c r="B186" s="42" t="s">
        <v>188</v>
      </c>
      <c r="C186" s="42" t="s">
        <v>45</v>
      </c>
      <c r="D186" s="43">
        <v>46258.0</v>
      </c>
      <c r="E186" s="42" t="s">
        <v>201</v>
      </c>
      <c r="F186" s="44">
        <f>IFERROR(__xludf.DUMMYFUNCTION("MIN(ARRAYFORMULA(TIMEVALUE(SPLIT(E186,"" ""))))"),0.325)</f>
        <v>0.325</v>
      </c>
      <c r="G186" s="44">
        <f>IFERROR(__xludf.DUMMYFUNCTION("MAX(ARRAYFORMULA(TIMEVALUE(SPLIT(E186,"" ""))))"),0.73125)</f>
        <v>0.73125</v>
      </c>
      <c r="H186" s="45"/>
      <c r="I186" s="45"/>
      <c r="J186" s="46">
        <f t="shared" si="13"/>
        <v>2</v>
      </c>
      <c r="K186" s="27"/>
      <c r="L186" s="38"/>
      <c r="M186" s="38" t="str">
        <f t="shared" si="9"/>
        <v/>
      </c>
      <c r="N186" s="47"/>
      <c r="O186" s="48" t="str">
        <f t="shared" ref="O186:O259" si="14">CHOOSE(WEEKDAY(D186,2),"Hai","Ba","Tư","Năm","Sáu","Bảy","CN")</f>
        <v>Hai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idden="1">
      <c r="A187" s="26">
        <v>9.63359959E8</v>
      </c>
      <c r="B187" s="26" t="s">
        <v>188</v>
      </c>
      <c r="C187" s="26" t="s">
        <v>45</v>
      </c>
      <c r="D187" s="28">
        <v>46259.0</v>
      </c>
      <c r="E187" s="26" t="s">
        <v>202</v>
      </c>
      <c r="F187" s="30">
        <f>IFERROR(__xludf.DUMMYFUNCTION("MIN(ARRAYFORMULA(TIMEVALUE(SPLIT(E187,"" ""))))"),0.32430555555555557)</f>
        <v>0.3243055556</v>
      </c>
      <c r="G187" s="30">
        <f>IFERROR(__xludf.DUMMYFUNCTION("MAX(ARRAYFORMULA(TIMEVALUE(SPLIT(E187,"" ""))))"),0.8131944444444444)</f>
        <v>0.8131944444</v>
      </c>
      <c r="H187" s="31"/>
      <c r="I187" s="31"/>
      <c r="J187" s="39">
        <f t="shared" si="13"/>
        <v>3</v>
      </c>
      <c r="K187" s="40"/>
      <c r="L187" s="31"/>
      <c r="M187" s="31" t="str">
        <f t="shared" si="9"/>
        <v/>
      </c>
      <c r="N187" s="26" t="s">
        <v>60</v>
      </c>
      <c r="O187" s="48" t="str">
        <f t="shared" si="14"/>
        <v>Ba</v>
      </c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idden="1">
      <c r="A188" s="26">
        <v>9.63359959E8</v>
      </c>
      <c r="B188" s="26" t="s">
        <v>188</v>
      </c>
      <c r="C188" s="26" t="s">
        <v>45</v>
      </c>
      <c r="D188" s="28">
        <v>46260.0</v>
      </c>
      <c r="E188" s="26" t="s">
        <v>198</v>
      </c>
      <c r="F188" s="30">
        <f>IFERROR(__xludf.DUMMYFUNCTION("MIN(ARRAYFORMULA(TIMEVALUE(SPLIT(E188,"" ""))))"),0.32013888888888886)</f>
        <v>0.3201388889</v>
      </c>
      <c r="G188" s="30">
        <f>IFERROR(__xludf.DUMMYFUNCTION("MAX(ARRAYFORMULA(TIMEVALUE(SPLIT(E188,"" ""))))"),0.8131944444444444)</f>
        <v>0.8131944444</v>
      </c>
      <c r="H188" s="31"/>
      <c r="I188" s="31"/>
      <c r="J188" s="39">
        <f t="shared" si="13"/>
        <v>3</v>
      </c>
      <c r="K188" s="40"/>
      <c r="L188" s="31"/>
      <c r="M188" s="31" t="str">
        <f t="shared" si="9"/>
        <v/>
      </c>
      <c r="N188" s="26" t="s">
        <v>60</v>
      </c>
      <c r="O188" s="48" t="str">
        <f t="shared" si="14"/>
        <v>Tư</v>
      </c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idden="1">
      <c r="A189" s="42">
        <v>59959.0</v>
      </c>
      <c r="B189" s="42" t="s">
        <v>188</v>
      </c>
      <c r="C189" s="42" t="s">
        <v>45</v>
      </c>
      <c r="D189" s="43">
        <v>46261.0</v>
      </c>
      <c r="E189" s="42" t="s">
        <v>203</v>
      </c>
      <c r="F189" s="44">
        <f>IFERROR(__xludf.DUMMYFUNCTION("MIN(ARRAYFORMULA(TIMEVALUE(SPLIT(E189,"" ""))))"),0.33125)</f>
        <v>0.33125</v>
      </c>
      <c r="G189" s="44">
        <f>IFERROR(__xludf.DUMMYFUNCTION("MAX(ARRAYFORMULA(TIMEVALUE(SPLIT(E189,"" ""))))"),0.7347222222222223)</f>
        <v>0.7347222222</v>
      </c>
      <c r="H189" s="45"/>
      <c r="I189" s="45"/>
      <c r="J189" s="46">
        <f t="shared" si="13"/>
        <v>2</v>
      </c>
      <c r="K189" s="27"/>
      <c r="L189" s="38"/>
      <c r="M189" s="38" t="str">
        <f t="shared" si="9"/>
        <v/>
      </c>
      <c r="N189" s="47"/>
      <c r="O189" s="48" t="str">
        <f t="shared" si="14"/>
        <v>Năm</v>
      </c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idden="1">
      <c r="A190" s="26">
        <v>9.63359959E8</v>
      </c>
      <c r="B190" s="26" t="s">
        <v>188</v>
      </c>
      <c r="C190" s="26" t="s">
        <v>45</v>
      </c>
      <c r="D190" s="28">
        <v>46262.0</v>
      </c>
      <c r="E190" s="26" t="s">
        <v>204</v>
      </c>
      <c r="F190" s="30">
        <f>IFERROR(__xludf.DUMMYFUNCTION("MIN(ARRAYFORMULA(TIMEVALUE(SPLIT(E190,"" ""))))"),0.31805555555555554)</f>
        <v>0.3180555556</v>
      </c>
      <c r="G190" s="30">
        <f>IFERROR(__xludf.DUMMYFUNCTION("MAX(ARRAYFORMULA(TIMEVALUE(SPLIT(E190,"" ""))))"),0.7305555555555555)</f>
        <v>0.7305555556</v>
      </c>
      <c r="H190" s="31"/>
      <c r="I190" s="31"/>
      <c r="J190" s="39">
        <f t="shared" si="13"/>
        <v>2</v>
      </c>
      <c r="K190" s="40"/>
      <c r="L190" s="31"/>
      <c r="M190" s="31" t="str">
        <f t="shared" si="9"/>
        <v/>
      </c>
      <c r="N190" s="26" t="s">
        <v>60</v>
      </c>
      <c r="O190" s="48" t="str">
        <f t="shared" si="14"/>
        <v>Sáu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idden="1">
      <c r="A191" s="26">
        <v>9.63359959E8</v>
      </c>
      <c r="B191" s="26" t="s">
        <v>188</v>
      </c>
      <c r="C191" s="26" t="s">
        <v>45</v>
      </c>
      <c r="D191" s="28">
        <v>46263.0</v>
      </c>
      <c r="E191" s="26" t="s">
        <v>205</v>
      </c>
      <c r="F191" s="30">
        <f>IFERROR(__xludf.DUMMYFUNCTION("MIN(ARRAYFORMULA(TIMEVALUE(SPLIT(E191,"" ""))))"),0.31875)</f>
        <v>0.31875</v>
      </c>
      <c r="G191" s="30">
        <f>IFERROR(__xludf.DUMMYFUNCTION("MAX(ARRAYFORMULA(TIMEVALUE(SPLIT(E191,"" ""))))"),0.8125)</f>
        <v>0.8125</v>
      </c>
      <c r="H191" s="31"/>
      <c r="I191" s="31"/>
      <c r="J191" s="39">
        <f t="shared" si="13"/>
        <v>3</v>
      </c>
      <c r="K191" s="40"/>
      <c r="L191" s="31"/>
      <c r="M191" s="31" t="str">
        <f t="shared" si="9"/>
        <v/>
      </c>
      <c r="N191" s="26" t="s">
        <v>60</v>
      </c>
      <c r="O191" s="48" t="str">
        <f t="shared" si="14"/>
        <v>Bảy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idden="1">
      <c r="A192" s="42">
        <v>59959.0</v>
      </c>
      <c r="B192" s="42" t="s">
        <v>188</v>
      </c>
      <c r="C192" s="42" t="s">
        <v>45</v>
      </c>
      <c r="D192" s="43">
        <v>46265.0</v>
      </c>
      <c r="E192" s="42" t="s">
        <v>206</v>
      </c>
      <c r="F192" s="44">
        <f>IFERROR(__xludf.DUMMYFUNCTION("MIN(ARRAYFORMULA(TIMEVALUE(SPLIT(E192,"" ""))))"),0.32013888888888886)</f>
        <v>0.3201388889</v>
      </c>
      <c r="G192" s="44">
        <f>IFERROR(__xludf.DUMMYFUNCTION("MAX(ARRAYFORMULA(TIMEVALUE(SPLIT(E192,"" ""))))"),0.7395833333333334)</f>
        <v>0.7395833333</v>
      </c>
      <c r="H192" s="45"/>
      <c r="I192" s="45"/>
      <c r="J192" s="46">
        <f t="shared" si="13"/>
        <v>2</v>
      </c>
      <c r="K192" s="27"/>
      <c r="L192" s="38"/>
      <c r="M192" s="38" t="str">
        <f t="shared" si="9"/>
        <v/>
      </c>
      <c r="N192" s="47"/>
      <c r="O192" s="48" t="str">
        <f t="shared" si="14"/>
        <v>Hai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42">
        <v>11208.0</v>
      </c>
      <c r="B193" s="42" t="s">
        <v>40</v>
      </c>
      <c r="C193" s="42" t="s">
        <v>207</v>
      </c>
      <c r="D193" s="43">
        <v>46235.0</v>
      </c>
      <c r="E193" s="53">
        <v>0.3333333333333333</v>
      </c>
      <c r="F193" s="44">
        <f>IFERROR(__xludf.DUMMYFUNCTION("MIN(ARRAYFORMULA(TIMEVALUE(SPLIT(E193,"" ""))))"),0.3333333333333333)</f>
        <v>0.3333333333</v>
      </c>
      <c r="G193" s="44">
        <f>IFERROR(__xludf.DUMMYFUNCTION("MAX(ARRAYFORMULA(TIMEVALUE(SPLIT(E193,"" ""))))"),0.3333333333333333)</f>
        <v>0.3333333333</v>
      </c>
      <c r="H193" s="45"/>
      <c r="I193" s="45"/>
      <c r="J193" s="46">
        <f t="shared" si="13"/>
        <v>0</v>
      </c>
      <c r="K193" s="27"/>
      <c r="L193" s="38"/>
      <c r="M193" s="38" t="str">
        <f t="shared" si="9"/>
        <v/>
      </c>
      <c r="N193" s="47"/>
      <c r="O193" s="48" t="str">
        <f t="shared" si="14"/>
        <v>Bảy</v>
      </c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42">
        <v>11208.0</v>
      </c>
      <c r="B194" s="42" t="s">
        <v>40</v>
      </c>
      <c r="C194" s="42" t="s">
        <v>207</v>
      </c>
      <c r="D194" s="43">
        <v>46237.0</v>
      </c>
      <c r="E194" s="53">
        <v>0.3333333333333333</v>
      </c>
      <c r="F194" s="44">
        <f>IFERROR(__xludf.DUMMYFUNCTION("MIN(ARRAYFORMULA(TIMEVALUE(SPLIT(E194,"" ""))))"),0.3333333333333333)</f>
        <v>0.3333333333</v>
      </c>
      <c r="G194" s="44">
        <f>IFERROR(__xludf.DUMMYFUNCTION("MAX(ARRAYFORMULA(TIMEVALUE(SPLIT(E194,"" ""))))"),0.3333333333333333)</f>
        <v>0.3333333333</v>
      </c>
      <c r="H194" s="45"/>
      <c r="I194" s="45"/>
      <c r="J194" s="46">
        <f t="shared" si="13"/>
        <v>0</v>
      </c>
      <c r="K194" s="27"/>
      <c r="L194" s="38"/>
      <c r="M194" s="38" t="str">
        <f t="shared" si="9"/>
        <v/>
      </c>
      <c r="N194" s="47"/>
      <c r="O194" s="48" t="str">
        <f t="shared" si="14"/>
        <v>Hai</v>
      </c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6">
        <v>7.98001208E8</v>
      </c>
      <c r="B195" s="26" t="s">
        <v>40</v>
      </c>
      <c r="C195" s="26" t="s">
        <v>207</v>
      </c>
      <c r="D195" s="28">
        <v>46237.0</v>
      </c>
      <c r="E195" s="26" t="s">
        <v>208</v>
      </c>
      <c r="F195" s="30">
        <f>IFERROR(__xludf.DUMMYFUNCTION("MIN(ARRAYFORMULA(TIMEVALUE(SPLIT(E195,"" ""))))"),0.7493055555555556)</f>
        <v>0.7493055556</v>
      </c>
      <c r="G195" s="30">
        <f>IFERROR(__xludf.DUMMYFUNCTION("MAX(ARRAYFORMULA(TIMEVALUE(SPLIT(E195,"" ""))))"),0.7513888888888889)</f>
        <v>0.7513888889</v>
      </c>
      <c r="H195" s="31"/>
      <c r="I195" s="31"/>
      <c r="J195" s="39">
        <f t="shared" si="13"/>
        <v>0</v>
      </c>
      <c r="K195" s="27"/>
      <c r="L195" s="38"/>
      <c r="M195" s="38" t="str">
        <f t="shared" si="9"/>
        <v/>
      </c>
      <c r="N195" s="47" t="s">
        <v>209</v>
      </c>
      <c r="O195" s="48" t="str">
        <f t="shared" si="14"/>
        <v>Hai</v>
      </c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42">
        <v>11208.0</v>
      </c>
      <c r="B196" s="42" t="s">
        <v>40</v>
      </c>
      <c r="C196" s="42" t="s">
        <v>207</v>
      </c>
      <c r="D196" s="43">
        <v>46238.0</v>
      </c>
      <c r="E196" s="42" t="s">
        <v>210</v>
      </c>
      <c r="F196" s="44">
        <f>IFERROR(__xludf.DUMMYFUNCTION("MIN(ARRAYFORMULA(TIMEVALUE(SPLIT(E196,"" ""))))"),0.33194444444444443)</f>
        <v>0.3319444444</v>
      </c>
      <c r="G196" s="44">
        <f>IFERROR(__xludf.DUMMYFUNCTION("MAX(ARRAYFORMULA(TIMEVALUE(SPLIT(E196,"" ""))))"),0.7381944444444445)</f>
        <v>0.7381944444</v>
      </c>
      <c r="H196" s="45"/>
      <c r="I196" s="45"/>
      <c r="J196" s="46">
        <f t="shared" si="13"/>
        <v>2</v>
      </c>
      <c r="K196" s="27"/>
      <c r="L196" s="38"/>
      <c r="M196" s="38" t="str">
        <f t="shared" si="9"/>
        <v/>
      </c>
      <c r="N196" s="47"/>
      <c r="O196" s="48" t="str">
        <f t="shared" si="14"/>
        <v>Ba</v>
      </c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42">
        <v>11208.0</v>
      </c>
      <c r="B197" s="42" t="s">
        <v>40</v>
      </c>
      <c r="C197" s="42" t="s">
        <v>207</v>
      </c>
      <c r="D197" s="43">
        <v>46239.0</v>
      </c>
      <c r="E197" s="42" t="s">
        <v>211</v>
      </c>
      <c r="F197" s="44">
        <f>IFERROR(__xludf.DUMMYFUNCTION("MIN(ARRAYFORMULA(TIMEVALUE(SPLIT(E197,"" ""))))"),0.3326388888888889)</f>
        <v>0.3326388889</v>
      </c>
      <c r="G197" s="44">
        <f>IFERROR(__xludf.DUMMYFUNCTION("MAX(ARRAYFORMULA(TIMEVALUE(SPLIT(E197,"" ""))))"),0.7381944444444445)</f>
        <v>0.7381944444</v>
      </c>
      <c r="H197" s="45"/>
      <c r="I197" s="45"/>
      <c r="J197" s="46">
        <f t="shared" si="13"/>
        <v>2</v>
      </c>
      <c r="K197" s="27"/>
      <c r="L197" s="38"/>
      <c r="M197" s="38" t="str">
        <f t="shared" si="9"/>
        <v/>
      </c>
      <c r="N197" s="47"/>
      <c r="O197" s="48" t="str">
        <f t="shared" si="14"/>
        <v>Tư</v>
      </c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42">
        <v>11208.0</v>
      </c>
      <c r="B198" s="42" t="s">
        <v>40</v>
      </c>
      <c r="C198" s="42" t="s">
        <v>207</v>
      </c>
      <c r="D198" s="43">
        <v>46240.0</v>
      </c>
      <c r="E198" s="53">
        <v>0.3298611111111111</v>
      </c>
      <c r="F198" s="44">
        <f>IFERROR(__xludf.DUMMYFUNCTION("MIN(ARRAYFORMULA(TIMEVALUE(SPLIT(E198,"" ""))))"),0.3298611111111111)</f>
        <v>0.3298611111</v>
      </c>
      <c r="G198" s="44">
        <f>IFERROR(__xludf.DUMMYFUNCTION("MAX(ARRAYFORMULA(TIMEVALUE(SPLIT(E198,"" ""))))"),0.3298611111111111)</f>
        <v>0.3298611111</v>
      </c>
      <c r="H198" s="45"/>
      <c r="I198" s="45"/>
      <c r="J198" s="46">
        <f t="shared" si="13"/>
        <v>0</v>
      </c>
      <c r="K198" s="27"/>
      <c r="L198" s="38"/>
      <c r="M198" s="38" t="str">
        <f t="shared" si="9"/>
        <v/>
      </c>
      <c r="N198" s="47"/>
      <c r="O198" s="48" t="str">
        <f t="shared" si="14"/>
        <v>Năm</v>
      </c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42">
        <v>11208.0</v>
      </c>
      <c r="B199" s="42" t="s">
        <v>40</v>
      </c>
      <c r="C199" s="42" t="s">
        <v>207</v>
      </c>
      <c r="D199" s="43">
        <v>46241.0</v>
      </c>
      <c r="E199" s="53">
        <v>0.3326388888888889</v>
      </c>
      <c r="F199" s="44">
        <f>IFERROR(__xludf.DUMMYFUNCTION("MIN(ARRAYFORMULA(TIMEVALUE(SPLIT(E199,"" ""))))"),0.3326388888888889)</f>
        <v>0.3326388889</v>
      </c>
      <c r="G199" s="44">
        <f>IFERROR(__xludf.DUMMYFUNCTION("MAX(ARRAYFORMULA(TIMEVALUE(SPLIT(E199,"" ""))))"),0.3326388888888889)</f>
        <v>0.3326388889</v>
      </c>
      <c r="H199" s="45"/>
      <c r="I199" s="45"/>
      <c r="J199" s="46">
        <f t="shared" si="13"/>
        <v>0</v>
      </c>
      <c r="K199" s="27"/>
      <c r="L199" s="38"/>
      <c r="M199" s="38" t="str">
        <f t="shared" si="9"/>
        <v/>
      </c>
      <c r="N199" s="47"/>
      <c r="O199" s="48" t="str">
        <f t="shared" si="14"/>
        <v>Sáu</v>
      </c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42">
        <v>11208.0</v>
      </c>
      <c r="B200" s="42" t="s">
        <v>40</v>
      </c>
      <c r="C200" s="42" t="s">
        <v>207</v>
      </c>
      <c r="D200" s="43">
        <v>46248.0</v>
      </c>
      <c r="E200" s="53">
        <v>0.3215277777777778</v>
      </c>
      <c r="F200" s="44">
        <f>IFERROR(__xludf.DUMMYFUNCTION("MIN(ARRAYFORMULA(TIMEVALUE(SPLIT(E200,"" ""))))"),0.3215277777777778)</f>
        <v>0.3215277778</v>
      </c>
      <c r="G200" s="44">
        <f>IFERROR(__xludf.DUMMYFUNCTION("MAX(ARRAYFORMULA(TIMEVALUE(SPLIT(E200,"" ""))))"),0.3215277777777778)</f>
        <v>0.3215277778</v>
      </c>
      <c r="H200" s="45"/>
      <c r="I200" s="45"/>
      <c r="J200" s="46">
        <f t="shared" si="13"/>
        <v>0</v>
      </c>
      <c r="K200" s="27"/>
      <c r="L200" s="38"/>
      <c r="M200" s="38" t="str">
        <f t="shared" si="9"/>
        <v/>
      </c>
      <c r="N200" s="47"/>
      <c r="O200" s="48" t="str">
        <f t="shared" si="14"/>
        <v>Sáu</v>
      </c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42">
        <v>11208.0</v>
      </c>
      <c r="B201" s="42" t="s">
        <v>40</v>
      </c>
      <c r="C201" s="42" t="s">
        <v>207</v>
      </c>
      <c r="D201" s="43">
        <v>46249.0</v>
      </c>
      <c r="E201" s="53">
        <v>0.33194444444444443</v>
      </c>
      <c r="F201" s="44">
        <f>IFERROR(__xludf.DUMMYFUNCTION("MIN(ARRAYFORMULA(TIMEVALUE(SPLIT(E201,"" ""))))"),0.33194444444444443)</f>
        <v>0.3319444444</v>
      </c>
      <c r="G201" s="44">
        <f>IFERROR(__xludf.DUMMYFUNCTION("MAX(ARRAYFORMULA(TIMEVALUE(SPLIT(E201,"" ""))))"),0.33194444444444443)</f>
        <v>0.3319444444</v>
      </c>
      <c r="H201" s="45"/>
      <c r="I201" s="45"/>
      <c r="J201" s="46">
        <f t="shared" si="13"/>
        <v>0</v>
      </c>
      <c r="K201" s="27"/>
      <c r="L201" s="38"/>
      <c r="M201" s="38" t="str">
        <f t="shared" si="9"/>
        <v/>
      </c>
      <c r="N201" s="47"/>
      <c r="O201" s="48" t="str">
        <f t="shared" si="14"/>
        <v>Bảy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42">
        <v>11208.0</v>
      </c>
      <c r="B202" s="42" t="s">
        <v>40</v>
      </c>
      <c r="C202" s="42" t="s">
        <v>207</v>
      </c>
      <c r="D202" s="43">
        <v>46251.0</v>
      </c>
      <c r="E202" s="53">
        <v>0.7305555555555555</v>
      </c>
      <c r="F202" s="44">
        <f>IFERROR(__xludf.DUMMYFUNCTION("MIN(ARRAYFORMULA(TIMEVALUE(SPLIT(E202,"" ""))))"),0.7305555555555555)</f>
        <v>0.7305555556</v>
      </c>
      <c r="G202" s="44">
        <f>IFERROR(__xludf.DUMMYFUNCTION("MAX(ARRAYFORMULA(TIMEVALUE(SPLIT(E202,"" ""))))"),0.7305555555555555)</f>
        <v>0.7305555556</v>
      </c>
      <c r="H202" s="45"/>
      <c r="I202" s="45"/>
      <c r="J202" s="46">
        <f t="shared" si="13"/>
        <v>0</v>
      </c>
      <c r="K202" s="27"/>
      <c r="L202" s="38"/>
      <c r="M202" s="38" t="str">
        <f t="shared" si="9"/>
        <v/>
      </c>
      <c r="N202" s="47"/>
      <c r="O202" s="48" t="str">
        <f t="shared" si="14"/>
        <v>Hai</v>
      </c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42">
        <v>11208.0</v>
      </c>
      <c r="B203" s="42" t="s">
        <v>40</v>
      </c>
      <c r="C203" s="42" t="s">
        <v>207</v>
      </c>
      <c r="D203" s="43">
        <v>46252.0</v>
      </c>
      <c r="E203" s="42" t="s">
        <v>212</v>
      </c>
      <c r="F203" s="44">
        <f>IFERROR(__xludf.DUMMYFUNCTION("MIN(ARRAYFORMULA(TIMEVALUE(SPLIT(E203,"" ""))))"),0.33125)</f>
        <v>0.33125</v>
      </c>
      <c r="G203" s="44">
        <f>IFERROR(__xludf.DUMMYFUNCTION("MAX(ARRAYFORMULA(TIMEVALUE(SPLIT(E203,"" ""))))"),0.7354166666666667)</f>
        <v>0.7354166667</v>
      </c>
      <c r="H203" s="45"/>
      <c r="I203" s="45"/>
      <c r="J203" s="46">
        <f t="shared" si="13"/>
        <v>2</v>
      </c>
      <c r="K203" s="27"/>
      <c r="L203" s="38"/>
      <c r="M203" s="38" t="str">
        <f t="shared" si="9"/>
        <v/>
      </c>
      <c r="N203" s="47"/>
      <c r="O203" s="48" t="str">
        <f t="shared" si="14"/>
        <v>Ba</v>
      </c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42">
        <v>11208.0</v>
      </c>
      <c r="B204" s="42" t="s">
        <v>40</v>
      </c>
      <c r="C204" s="42" t="s">
        <v>207</v>
      </c>
      <c r="D204" s="43">
        <v>46253.0</v>
      </c>
      <c r="E204" s="53">
        <v>0.32916666666666666</v>
      </c>
      <c r="F204" s="44">
        <f>IFERROR(__xludf.DUMMYFUNCTION("MIN(ARRAYFORMULA(TIMEVALUE(SPLIT(E204,"" ""))))"),0.32916666666666666)</f>
        <v>0.3291666667</v>
      </c>
      <c r="G204" s="44">
        <f>IFERROR(__xludf.DUMMYFUNCTION("MAX(ARRAYFORMULA(TIMEVALUE(SPLIT(E204,"" ""))))"),0.32916666666666666)</f>
        <v>0.3291666667</v>
      </c>
      <c r="H204" s="45"/>
      <c r="I204" s="45"/>
      <c r="J204" s="46">
        <f t="shared" si="13"/>
        <v>0</v>
      </c>
      <c r="K204" s="27"/>
      <c r="L204" s="38"/>
      <c r="M204" s="38" t="str">
        <f t="shared" si="9"/>
        <v/>
      </c>
      <c r="N204" s="47"/>
      <c r="O204" s="48" t="str">
        <f t="shared" si="14"/>
        <v>Tư</v>
      </c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6">
        <v>7.98001208E8</v>
      </c>
      <c r="B205" s="26" t="s">
        <v>40</v>
      </c>
      <c r="C205" s="26" t="s">
        <v>207</v>
      </c>
      <c r="D205" s="28">
        <v>46253.0</v>
      </c>
      <c r="E205" s="56">
        <v>0.7381944444444445</v>
      </c>
      <c r="F205" s="30">
        <f>IFERROR(__xludf.DUMMYFUNCTION("MIN(ARRAYFORMULA(TIMEVALUE(SPLIT(E205,"" ""))))"),0.7381944444444445)</f>
        <v>0.7381944444</v>
      </c>
      <c r="G205" s="30">
        <f>IFERROR(__xludf.DUMMYFUNCTION("MAX(ARRAYFORMULA(TIMEVALUE(SPLIT(E205,"" ""))))"),0.7381944444444445)</f>
        <v>0.7381944444</v>
      </c>
      <c r="H205" s="31"/>
      <c r="I205" s="31"/>
      <c r="J205" s="39">
        <f t="shared" si="13"/>
        <v>0</v>
      </c>
      <c r="K205" s="27"/>
      <c r="L205" s="38"/>
      <c r="M205" s="38" t="str">
        <f t="shared" si="9"/>
        <v/>
      </c>
      <c r="N205" s="47" t="s">
        <v>209</v>
      </c>
      <c r="O205" s="48" t="str">
        <f t="shared" si="14"/>
        <v>Tư</v>
      </c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6">
        <v>7.98001208E8</v>
      </c>
      <c r="B206" s="26" t="s">
        <v>40</v>
      </c>
      <c r="C206" s="26" t="s">
        <v>207</v>
      </c>
      <c r="D206" s="28">
        <v>46254.0</v>
      </c>
      <c r="E206" s="56">
        <v>0.7444444444444445</v>
      </c>
      <c r="F206" s="30">
        <f>IFERROR(__xludf.DUMMYFUNCTION("MIN(ARRAYFORMULA(TIMEVALUE(SPLIT(E206,"" ""))))"),0.7444444444444445)</f>
        <v>0.7444444444</v>
      </c>
      <c r="G206" s="30">
        <f>IFERROR(__xludf.DUMMYFUNCTION("MAX(ARRAYFORMULA(TIMEVALUE(SPLIT(E206,"" ""))))"),0.7444444444444445)</f>
        <v>0.7444444444</v>
      </c>
      <c r="H206" s="31"/>
      <c r="I206" s="31"/>
      <c r="J206" s="39">
        <f t="shared" si="13"/>
        <v>0</v>
      </c>
      <c r="K206" s="27"/>
      <c r="L206" s="38"/>
      <c r="M206" s="38" t="str">
        <f t="shared" si="9"/>
        <v/>
      </c>
      <c r="N206" s="47" t="s">
        <v>209</v>
      </c>
      <c r="O206" s="48" t="str">
        <f t="shared" si="14"/>
        <v>Năm</v>
      </c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42">
        <v>11208.0</v>
      </c>
      <c r="B207" s="42" t="s">
        <v>40</v>
      </c>
      <c r="C207" s="42" t="s">
        <v>207</v>
      </c>
      <c r="D207" s="43">
        <v>46255.0</v>
      </c>
      <c r="E207" s="53">
        <v>0.33194444444444443</v>
      </c>
      <c r="F207" s="44">
        <f>IFERROR(__xludf.DUMMYFUNCTION("MIN(ARRAYFORMULA(TIMEVALUE(SPLIT(E207,"" ""))))"),0.33194444444444443)</f>
        <v>0.3319444444</v>
      </c>
      <c r="G207" s="44">
        <f>IFERROR(__xludf.DUMMYFUNCTION("MAX(ARRAYFORMULA(TIMEVALUE(SPLIT(E207,"" ""))))"),0.33194444444444443)</f>
        <v>0.3319444444</v>
      </c>
      <c r="H207" s="45"/>
      <c r="I207" s="45"/>
      <c r="J207" s="46">
        <f t="shared" si="13"/>
        <v>0</v>
      </c>
      <c r="K207" s="27"/>
      <c r="L207" s="38"/>
      <c r="M207" s="38" t="str">
        <f t="shared" si="9"/>
        <v/>
      </c>
      <c r="N207" s="47"/>
      <c r="O207" s="48" t="str">
        <f t="shared" si="14"/>
        <v>Sáu</v>
      </c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42">
        <v>11208.0</v>
      </c>
      <c r="B208" s="42" t="s">
        <v>40</v>
      </c>
      <c r="C208" s="42" t="s">
        <v>207</v>
      </c>
      <c r="D208" s="43">
        <v>46256.0</v>
      </c>
      <c r="E208" s="42" t="s">
        <v>213</v>
      </c>
      <c r="F208" s="44">
        <f>IFERROR(__xludf.DUMMYFUNCTION("MIN(ARRAYFORMULA(TIMEVALUE(SPLIT(E208,"" ""))))"),0.33125)</f>
        <v>0.33125</v>
      </c>
      <c r="G208" s="44">
        <f>IFERROR(__xludf.DUMMYFUNCTION("MAX(ARRAYFORMULA(TIMEVALUE(SPLIT(E208,"" ""))))"),0.7395833333333334)</f>
        <v>0.7395833333</v>
      </c>
      <c r="H208" s="45"/>
      <c r="I208" s="45"/>
      <c r="J208" s="46">
        <f t="shared" si="13"/>
        <v>2</v>
      </c>
      <c r="K208" s="27"/>
      <c r="L208" s="38"/>
      <c r="M208" s="38" t="str">
        <f t="shared" si="9"/>
        <v/>
      </c>
      <c r="N208" s="47"/>
      <c r="O208" s="48" t="str">
        <f t="shared" si="14"/>
        <v>Bảy</v>
      </c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42">
        <v>11208.0</v>
      </c>
      <c r="B209" s="42" t="s">
        <v>40</v>
      </c>
      <c r="C209" s="42" t="s">
        <v>207</v>
      </c>
      <c r="D209" s="43">
        <v>46258.0</v>
      </c>
      <c r="E209" s="53">
        <v>0.3333333333333333</v>
      </c>
      <c r="F209" s="44">
        <f>IFERROR(__xludf.DUMMYFUNCTION("MIN(ARRAYFORMULA(TIMEVALUE(SPLIT(E209,"" ""))))"),0.3333333333333333)</f>
        <v>0.3333333333</v>
      </c>
      <c r="G209" s="44">
        <f>IFERROR(__xludf.DUMMYFUNCTION("MAX(ARRAYFORMULA(TIMEVALUE(SPLIT(E209,"" ""))))"),0.3333333333333333)</f>
        <v>0.3333333333</v>
      </c>
      <c r="H209" s="45"/>
      <c r="I209" s="45"/>
      <c r="J209" s="46">
        <f t="shared" si="13"/>
        <v>0</v>
      </c>
      <c r="K209" s="27"/>
      <c r="L209" s="38"/>
      <c r="M209" s="38" t="str">
        <f t="shared" si="9"/>
        <v/>
      </c>
      <c r="N209" s="47"/>
      <c r="O209" s="48" t="str">
        <f t="shared" si="14"/>
        <v>Hai</v>
      </c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42">
        <v>11208.0</v>
      </c>
      <c r="B210" s="42" t="s">
        <v>40</v>
      </c>
      <c r="C210" s="42" t="s">
        <v>207</v>
      </c>
      <c r="D210" s="43">
        <v>46259.0</v>
      </c>
      <c r="E210" s="53">
        <v>0.33194444444444443</v>
      </c>
      <c r="F210" s="44">
        <f>IFERROR(__xludf.DUMMYFUNCTION("MIN(ARRAYFORMULA(TIMEVALUE(SPLIT(E210,"" ""))))"),0.33194444444444443)</f>
        <v>0.3319444444</v>
      </c>
      <c r="G210" s="44">
        <f>IFERROR(__xludf.DUMMYFUNCTION("MAX(ARRAYFORMULA(TIMEVALUE(SPLIT(E210,"" ""))))"),0.33194444444444443)</f>
        <v>0.3319444444</v>
      </c>
      <c r="H210" s="45"/>
      <c r="I210" s="45"/>
      <c r="J210" s="46">
        <f t="shared" si="13"/>
        <v>0</v>
      </c>
      <c r="K210" s="27"/>
      <c r="L210" s="38"/>
      <c r="M210" s="38" t="str">
        <f t="shared" si="9"/>
        <v/>
      </c>
      <c r="N210" s="47"/>
      <c r="O210" s="48" t="str">
        <f t="shared" si="14"/>
        <v>Ba</v>
      </c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42">
        <v>11208.0</v>
      </c>
      <c r="B211" s="42" t="s">
        <v>40</v>
      </c>
      <c r="C211" s="42" t="s">
        <v>207</v>
      </c>
      <c r="D211" s="43">
        <v>46260.0</v>
      </c>
      <c r="E211" s="42" t="s">
        <v>214</v>
      </c>
      <c r="F211" s="44">
        <f>IFERROR(__xludf.DUMMYFUNCTION("MIN(ARRAYFORMULA(TIMEVALUE(SPLIT(E211,"" ""))))"),0.3326388888888889)</f>
        <v>0.3326388889</v>
      </c>
      <c r="G211" s="44">
        <f>IFERROR(__xludf.DUMMYFUNCTION("MAX(ARRAYFORMULA(TIMEVALUE(SPLIT(E211,"" ""))))"),0.7368055555555556)</f>
        <v>0.7368055556</v>
      </c>
      <c r="H211" s="45"/>
      <c r="I211" s="45"/>
      <c r="J211" s="46">
        <f t="shared" si="13"/>
        <v>2</v>
      </c>
      <c r="K211" s="27"/>
      <c r="L211" s="38"/>
      <c r="M211" s="38" t="str">
        <f t="shared" si="9"/>
        <v/>
      </c>
      <c r="N211" s="47"/>
      <c r="O211" s="48" t="str">
        <f t="shared" si="14"/>
        <v>Tư</v>
      </c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42">
        <v>11208.0</v>
      </c>
      <c r="B212" s="42" t="s">
        <v>40</v>
      </c>
      <c r="C212" s="42" t="s">
        <v>207</v>
      </c>
      <c r="D212" s="43">
        <v>46263.0</v>
      </c>
      <c r="E212" s="42" t="s">
        <v>215</v>
      </c>
      <c r="F212" s="44">
        <f>IFERROR(__xludf.DUMMYFUNCTION("MIN(ARRAYFORMULA(TIMEVALUE(SPLIT(E212,"" ""))))"),0.3333333333333333)</f>
        <v>0.3333333333</v>
      </c>
      <c r="G212" s="44">
        <f>IFERROR(__xludf.DUMMYFUNCTION("MAX(ARRAYFORMULA(TIMEVALUE(SPLIT(E212,"" ""))))"),0.7381944444444445)</f>
        <v>0.7381944444</v>
      </c>
      <c r="H212" s="45"/>
      <c r="I212" s="45"/>
      <c r="J212" s="46">
        <f t="shared" si="13"/>
        <v>2</v>
      </c>
      <c r="K212" s="27"/>
      <c r="L212" s="38"/>
      <c r="M212" s="38" t="str">
        <f t="shared" si="9"/>
        <v/>
      </c>
      <c r="N212" s="47"/>
      <c r="O212" s="48" t="str">
        <f t="shared" si="14"/>
        <v>Bảy</v>
      </c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42">
        <v>11208.0</v>
      </c>
      <c r="B213" s="42" t="s">
        <v>40</v>
      </c>
      <c r="C213" s="42" t="s">
        <v>207</v>
      </c>
      <c r="D213" s="43">
        <v>46265.0</v>
      </c>
      <c r="E213" s="53">
        <v>0.33402777777777776</v>
      </c>
      <c r="F213" s="44">
        <f>IFERROR(__xludf.DUMMYFUNCTION("MIN(ARRAYFORMULA(TIMEVALUE(SPLIT(E213,"" ""))))"),0.33402777777777776)</f>
        <v>0.3340277778</v>
      </c>
      <c r="G213" s="44">
        <f>IFERROR(__xludf.DUMMYFUNCTION("MAX(ARRAYFORMULA(TIMEVALUE(SPLIT(E213,"" ""))))"),0.33402777777777776)</f>
        <v>0.3340277778</v>
      </c>
      <c r="H213" s="42">
        <v>1.0</v>
      </c>
      <c r="I213" s="45"/>
      <c r="J213" s="46">
        <f t="shared" si="13"/>
        <v>0</v>
      </c>
      <c r="K213" s="27"/>
      <c r="L213" s="38"/>
      <c r="M213" s="38" t="str">
        <f t="shared" si="9"/>
        <v/>
      </c>
      <c r="N213" s="47"/>
      <c r="O213" s="48" t="str">
        <f t="shared" si="14"/>
        <v>Hai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42">
        <v>62827.0</v>
      </c>
      <c r="B214" s="42" t="s">
        <v>27</v>
      </c>
      <c r="C214" s="42" t="s">
        <v>23</v>
      </c>
      <c r="D214" s="43">
        <v>46235.0</v>
      </c>
      <c r="E214" s="42" t="s">
        <v>216</v>
      </c>
      <c r="F214" s="44">
        <f>IFERROR(__xludf.DUMMYFUNCTION("MIN(ARRAYFORMULA(TIMEVALUE(SPLIT(E214,"" ""))))"),0.33055555555555555)</f>
        <v>0.3305555556</v>
      </c>
      <c r="G214" s="44">
        <f>IFERROR(__xludf.DUMMYFUNCTION("MAX(ARRAYFORMULA(TIMEVALUE(SPLIT(E214,"" ""))))"),0.8111111111111111)</f>
        <v>0.8111111111</v>
      </c>
      <c r="H214" s="45"/>
      <c r="I214" s="45"/>
      <c r="J214" s="46">
        <f t="shared" si="13"/>
        <v>3</v>
      </c>
      <c r="K214" s="27"/>
      <c r="L214" s="38"/>
      <c r="M214" s="38" t="str">
        <f t="shared" si="9"/>
        <v/>
      </c>
      <c r="N214" s="47"/>
      <c r="O214" s="48" t="str">
        <f t="shared" si="14"/>
        <v>Bảy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42">
        <v>62827.0</v>
      </c>
      <c r="B215" s="42" t="s">
        <v>27</v>
      </c>
      <c r="C215" s="42" t="s">
        <v>23</v>
      </c>
      <c r="D215" s="43">
        <v>46236.0</v>
      </c>
      <c r="E215" s="42" t="s">
        <v>217</v>
      </c>
      <c r="F215" s="44">
        <f>IFERROR(__xludf.DUMMYFUNCTION("MIN(ARRAYFORMULA(TIMEVALUE(SPLIT(E215,"" ""))))"),0.3263888888888889)</f>
        <v>0.3263888889</v>
      </c>
      <c r="G215" s="44">
        <f>IFERROR(__xludf.DUMMYFUNCTION("MAX(ARRAYFORMULA(TIMEVALUE(SPLIT(E215,"" ""))))"),0.75)</f>
        <v>0.75</v>
      </c>
      <c r="H215" s="45"/>
      <c r="I215" s="45"/>
      <c r="J215" s="46">
        <f t="shared" si="13"/>
        <v>2</v>
      </c>
      <c r="K215" s="27"/>
      <c r="L215" s="38"/>
      <c r="M215" s="38">
        <f t="shared" si="9"/>
        <v>1</v>
      </c>
      <c r="N215" s="47"/>
      <c r="O215" s="48" t="str">
        <f t="shared" si="14"/>
        <v>CN</v>
      </c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42">
        <v>62827.0</v>
      </c>
      <c r="B216" s="42" t="s">
        <v>27</v>
      </c>
      <c r="C216" s="42" t="s">
        <v>23</v>
      </c>
      <c r="D216" s="43">
        <v>46237.0</v>
      </c>
      <c r="E216" s="42" t="s">
        <v>134</v>
      </c>
      <c r="F216" s="44">
        <f>IFERROR(__xludf.DUMMYFUNCTION("MIN(ARRAYFORMULA(TIMEVALUE(SPLIT(E216,"" ""))))"),0.33125)</f>
        <v>0.33125</v>
      </c>
      <c r="G216" s="44">
        <f>IFERROR(__xludf.DUMMYFUNCTION("MAX(ARRAYFORMULA(TIMEVALUE(SPLIT(E216,"" ""))))"),0.8125)</f>
        <v>0.8125</v>
      </c>
      <c r="H216" s="45"/>
      <c r="I216" s="45"/>
      <c r="J216" s="46">
        <f t="shared" si="13"/>
        <v>3</v>
      </c>
      <c r="K216" s="27"/>
      <c r="L216" s="38"/>
      <c r="M216" s="38" t="str">
        <f t="shared" si="9"/>
        <v/>
      </c>
      <c r="N216" s="47"/>
      <c r="O216" s="48" t="str">
        <f t="shared" si="14"/>
        <v>Hai</v>
      </c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42">
        <v>62827.0</v>
      </c>
      <c r="B217" s="42" t="s">
        <v>27</v>
      </c>
      <c r="C217" s="42" t="s">
        <v>23</v>
      </c>
      <c r="D217" s="43">
        <v>46238.0</v>
      </c>
      <c r="E217" s="42" t="s">
        <v>172</v>
      </c>
      <c r="F217" s="44">
        <f>IFERROR(__xludf.DUMMYFUNCTION("MIN(ARRAYFORMULA(TIMEVALUE(SPLIT(E217,"" ""))))"),0.32222222222222224)</f>
        <v>0.3222222222</v>
      </c>
      <c r="G217" s="44">
        <f>IFERROR(__xludf.DUMMYFUNCTION("MAX(ARRAYFORMULA(TIMEVALUE(SPLIT(E217,"" ""))))"),0.8138888888888889)</f>
        <v>0.8138888889</v>
      </c>
      <c r="H217" s="45"/>
      <c r="I217" s="45"/>
      <c r="J217" s="46">
        <f t="shared" si="13"/>
        <v>3</v>
      </c>
      <c r="K217" s="27"/>
      <c r="L217" s="38"/>
      <c r="M217" s="38" t="str">
        <f t="shared" si="9"/>
        <v/>
      </c>
      <c r="N217" s="47"/>
      <c r="O217" s="48" t="str">
        <f t="shared" si="14"/>
        <v>Ba</v>
      </c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42">
        <v>62827.0</v>
      </c>
      <c r="B218" s="42" t="s">
        <v>27</v>
      </c>
      <c r="C218" s="42" t="s">
        <v>23</v>
      </c>
      <c r="D218" s="43">
        <v>46239.0</v>
      </c>
      <c r="E218" s="42" t="s">
        <v>218</v>
      </c>
      <c r="F218" s="44">
        <f>IFERROR(__xludf.DUMMYFUNCTION("MIN(ARRAYFORMULA(TIMEVALUE(SPLIT(E218,"" ""))))"),0.3298611111111111)</f>
        <v>0.3298611111</v>
      </c>
      <c r="G218" s="44">
        <f>IFERROR(__xludf.DUMMYFUNCTION("MAX(ARRAYFORMULA(TIMEVALUE(SPLIT(E218,"" ""))))"),0.8152777777777778)</f>
        <v>0.8152777778</v>
      </c>
      <c r="H218" s="45"/>
      <c r="I218" s="45"/>
      <c r="J218" s="46">
        <f t="shared" si="13"/>
        <v>3</v>
      </c>
      <c r="K218" s="27"/>
      <c r="L218" s="38"/>
      <c r="M218" s="38" t="str">
        <f t="shared" si="9"/>
        <v/>
      </c>
      <c r="N218" s="47"/>
      <c r="O218" s="48" t="str">
        <f t="shared" si="14"/>
        <v>Tư</v>
      </c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42">
        <v>62827.0</v>
      </c>
      <c r="B219" s="42" t="s">
        <v>27</v>
      </c>
      <c r="C219" s="42" t="s">
        <v>23</v>
      </c>
      <c r="D219" s="43">
        <v>46240.0</v>
      </c>
      <c r="E219" s="42" t="s">
        <v>70</v>
      </c>
      <c r="F219" s="44">
        <f>IFERROR(__xludf.DUMMYFUNCTION("MIN(ARRAYFORMULA(TIMEVALUE(SPLIT(E219,"" ""))))"),0.33194444444444443)</f>
        <v>0.3319444444</v>
      </c>
      <c r="G219" s="44">
        <f>IFERROR(__xludf.DUMMYFUNCTION("MAX(ARRAYFORMULA(TIMEVALUE(SPLIT(E219,"" ""))))"),0.8125)</f>
        <v>0.8125</v>
      </c>
      <c r="H219" s="45"/>
      <c r="I219" s="45"/>
      <c r="J219" s="46">
        <f t="shared" si="13"/>
        <v>3</v>
      </c>
      <c r="K219" s="27"/>
      <c r="L219" s="51">
        <v>3.0</v>
      </c>
      <c r="M219" s="38" t="str">
        <f t="shared" si="9"/>
        <v/>
      </c>
      <c r="N219" s="47" t="s">
        <v>219</v>
      </c>
      <c r="O219" s="48" t="str">
        <f t="shared" si="14"/>
        <v>Năm</v>
      </c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42">
        <v>62827.0</v>
      </c>
      <c r="B220" s="42" t="s">
        <v>27</v>
      </c>
      <c r="C220" s="42" t="s">
        <v>23</v>
      </c>
      <c r="D220" s="43">
        <v>46244.0</v>
      </c>
      <c r="E220" s="42" t="s">
        <v>220</v>
      </c>
      <c r="F220" s="44">
        <f>IFERROR(__xludf.DUMMYFUNCTION("MIN(ARRAYFORMULA(TIMEVALUE(SPLIT(E220,"" ""))))"),0.3277777777777778)</f>
        <v>0.3277777778</v>
      </c>
      <c r="G220" s="44">
        <f>IFERROR(__xludf.DUMMYFUNCTION("MAX(ARRAYFORMULA(TIMEVALUE(SPLIT(E220,"" ""))))"),0.8083333333333333)</f>
        <v>0.8083333333</v>
      </c>
      <c r="H220" s="45"/>
      <c r="I220" s="45"/>
      <c r="J220" s="46">
        <f t="shared" si="13"/>
        <v>2</v>
      </c>
      <c r="K220" s="27"/>
      <c r="L220" s="38"/>
      <c r="M220" s="38" t="str">
        <f t="shared" si="9"/>
        <v/>
      </c>
      <c r="N220" s="47"/>
      <c r="O220" s="48" t="str">
        <f t="shared" si="14"/>
        <v>Hai</v>
      </c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42">
        <v>62827.0</v>
      </c>
      <c r="B221" s="42" t="s">
        <v>27</v>
      </c>
      <c r="C221" s="42" t="s">
        <v>23</v>
      </c>
      <c r="D221" s="43">
        <v>46248.0</v>
      </c>
      <c r="E221" s="42" t="s">
        <v>137</v>
      </c>
      <c r="F221" s="44">
        <f>IFERROR(__xludf.DUMMYFUNCTION("MIN(ARRAYFORMULA(TIMEVALUE(SPLIT(E221,"" ""))))"),0.3236111111111111)</f>
        <v>0.3236111111</v>
      </c>
      <c r="G221" s="44">
        <f>IFERROR(__xludf.DUMMYFUNCTION("MAX(ARRAYFORMULA(TIMEVALUE(SPLIT(E221,"" ""))))"),0.8125)</f>
        <v>0.8125</v>
      </c>
      <c r="H221" s="45"/>
      <c r="I221" s="45"/>
      <c r="J221" s="46">
        <f t="shared" si="13"/>
        <v>3</v>
      </c>
      <c r="K221" s="27"/>
      <c r="L221" s="38"/>
      <c r="M221" s="38" t="str">
        <f t="shared" si="9"/>
        <v/>
      </c>
      <c r="N221" s="47"/>
      <c r="O221" s="48" t="str">
        <f t="shared" si="14"/>
        <v>Sáu</v>
      </c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42">
        <v>62827.0</v>
      </c>
      <c r="B222" s="42" t="s">
        <v>27</v>
      </c>
      <c r="C222" s="42" t="s">
        <v>23</v>
      </c>
      <c r="D222" s="43">
        <v>46249.0</v>
      </c>
      <c r="E222" s="42" t="s">
        <v>55</v>
      </c>
      <c r="F222" s="44">
        <f>IFERROR(__xludf.DUMMYFUNCTION("MIN(ARRAYFORMULA(TIMEVALUE(SPLIT(E222,"" ""))))"),0.3277777777777778)</f>
        <v>0.3277777778</v>
      </c>
      <c r="G222" s="44">
        <f>IFERROR(__xludf.DUMMYFUNCTION("MAX(ARRAYFORMULA(TIMEVALUE(SPLIT(E222,"" ""))))"),0.8131944444444444)</f>
        <v>0.8131944444</v>
      </c>
      <c r="H222" s="45"/>
      <c r="I222" s="45"/>
      <c r="J222" s="46">
        <f t="shared" si="13"/>
        <v>3</v>
      </c>
      <c r="K222" s="27"/>
      <c r="L222" s="38"/>
      <c r="M222" s="38" t="str">
        <f t="shared" si="9"/>
        <v/>
      </c>
      <c r="N222" s="47"/>
      <c r="O222" s="48" t="str">
        <f t="shared" si="14"/>
        <v>Bảy</v>
      </c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42">
        <v>62827.0</v>
      </c>
      <c r="B223" s="42" t="s">
        <v>27</v>
      </c>
      <c r="C223" s="42" t="s">
        <v>23</v>
      </c>
      <c r="D223" s="43">
        <v>46250.0</v>
      </c>
      <c r="E223" s="42" t="s">
        <v>221</v>
      </c>
      <c r="F223" s="44">
        <f>IFERROR(__xludf.DUMMYFUNCTION("MIN(ARRAYFORMULA(TIMEVALUE(SPLIT(E223,"" ""))))"),0.3215277777777778)</f>
        <v>0.3215277778</v>
      </c>
      <c r="G223" s="44">
        <f>IFERROR(__xludf.DUMMYFUNCTION("MAX(ARRAYFORMULA(TIMEVALUE(SPLIT(E223,"" ""))))"),0.7513888888888889)</f>
        <v>0.7513888889</v>
      </c>
      <c r="H223" s="45"/>
      <c r="I223" s="45"/>
      <c r="J223" s="46">
        <f t="shared" si="13"/>
        <v>2</v>
      </c>
      <c r="K223" s="27"/>
      <c r="L223" s="38"/>
      <c r="M223" s="38">
        <f t="shared" si="9"/>
        <v>1</v>
      </c>
      <c r="N223" s="47"/>
      <c r="O223" s="48" t="str">
        <f t="shared" si="14"/>
        <v>CN</v>
      </c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42">
        <v>62827.0</v>
      </c>
      <c r="B224" s="42" t="s">
        <v>27</v>
      </c>
      <c r="C224" s="42" t="s">
        <v>23</v>
      </c>
      <c r="D224" s="43">
        <v>46251.0</v>
      </c>
      <c r="E224" s="42" t="s">
        <v>222</v>
      </c>
      <c r="F224" s="44">
        <f>IFERROR(__xludf.DUMMYFUNCTION("MIN(ARRAYFORMULA(TIMEVALUE(SPLIT(E224,"" ""))))"),0.3388888888888889)</f>
        <v>0.3388888889</v>
      </c>
      <c r="G224" s="44">
        <f>IFERROR(__xludf.DUMMYFUNCTION("MAX(ARRAYFORMULA(TIMEVALUE(SPLIT(E224,"" ""))))"),0.8131944444444444)</f>
        <v>0.8131944444</v>
      </c>
      <c r="H224" s="45"/>
      <c r="I224" s="45"/>
      <c r="J224" s="46">
        <f t="shared" si="13"/>
        <v>3</v>
      </c>
      <c r="K224" s="27"/>
      <c r="L224" s="38"/>
      <c r="M224" s="38" t="str">
        <f t="shared" si="9"/>
        <v/>
      </c>
      <c r="N224" s="47"/>
      <c r="O224" s="48" t="str">
        <f t="shared" si="14"/>
        <v>Hai</v>
      </c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42">
        <v>62827.0</v>
      </c>
      <c r="B225" s="42" t="s">
        <v>27</v>
      </c>
      <c r="C225" s="42" t="s">
        <v>23</v>
      </c>
      <c r="D225" s="43">
        <v>46253.0</v>
      </c>
      <c r="E225" s="42" t="s">
        <v>223</v>
      </c>
      <c r="F225" s="44">
        <f>IFERROR(__xludf.DUMMYFUNCTION("MIN(ARRAYFORMULA(TIMEVALUE(SPLIT(E225,"" ""))))"),0.33125)</f>
        <v>0.33125</v>
      </c>
      <c r="G225" s="44">
        <f>IFERROR(__xludf.DUMMYFUNCTION("MAX(ARRAYFORMULA(TIMEVALUE(SPLIT(E225,"" ""))))"),0.8111111111111111)</f>
        <v>0.8111111111</v>
      </c>
      <c r="H225" s="45"/>
      <c r="I225" s="45"/>
      <c r="J225" s="46">
        <f t="shared" si="13"/>
        <v>3</v>
      </c>
      <c r="K225" s="27"/>
      <c r="L225" s="38"/>
      <c r="M225" s="38" t="str">
        <f t="shared" si="9"/>
        <v/>
      </c>
      <c r="N225" s="47"/>
      <c r="O225" s="48" t="str">
        <f t="shared" si="14"/>
        <v>Tư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42">
        <v>62827.0</v>
      </c>
      <c r="B226" s="42" t="s">
        <v>27</v>
      </c>
      <c r="C226" s="42" t="s">
        <v>23</v>
      </c>
      <c r="D226" s="43">
        <v>46254.0</v>
      </c>
      <c r="E226" s="42" t="s">
        <v>105</v>
      </c>
      <c r="F226" s="44">
        <f>IFERROR(__xludf.DUMMYFUNCTION("MIN(ARRAYFORMULA(TIMEVALUE(SPLIT(E226,"" ""))))"),0.32569444444444445)</f>
        <v>0.3256944444</v>
      </c>
      <c r="G226" s="44">
        <f>IFERROR(__xludf.DUMMYFUNCTION("MAX(ARRAYFORMULA(TIMEVALUE(SPLIT(E226,"" ""))))"),0.8125)</f>
        <v>0.8125</v>
      </c>
      <c r="H226" s="45"/>
      <c r="I226" s="45"/>
      <c r="J226" s="46">
        <f t="shared" si="13"/>
        <v>3</v>
      </c>
      <c r="K226" s="27"/>
      <c r="L226" s="38"/>
      <c r="M226" s="38" t="str">
        <f t="shared" si="9"/>
        <v/>
      </c>
      <c r="N226" s="47"/>
      <c r="O226" s="48" t="str">
        <f t="shared" si="14"/>
        <v>Năm</v>
      </c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42">
        <v>62827.0</v>
      </c>
      <c r="B227" s="42" t="s">
        <v>27</v>
      </c>
      <c r="C227" s="42" t="s">
        <v>23</v>
      </c>
      <c r="D227" s="43">
        <v>46255.0</v>
      </c>
      <c r="E227" s="42" t="s">
        <v>224</v>
      </c>
      <c r="F227" s="44">
        <f>IFERROR(__xludf.DUMMYFUNCTION("MIN(ARRAYFORMULA(TIMEVALUE(SPLIT(E227,"" ""))))"),0.33194444444444443)</f>
        <v>0.3319444444</v>
      </c>
      <c r="G227" s="44">
        <f>IFERROR(__xludf.DUMMYFUNCTION("MAX(ARRAYFORMULA(TIMEVALUE(SPLIT(E227,"" ""))))"),0.8111111111111111)</f>
        <v>0.8111111111</v>
      </c>
      <c r="H227" s="45"/>
      <c r="I227" s="45"/>
      <c r="J227" s="46">
        <f t="shared" si="13"/>
        <v>3</v>
      </c>
      <c r="K227" s="27"/>
      <c r="L227" s="38"/>
      <c r="M227" s="38" t="str">
        <f t="shared" si="9"/>
        <v/>
      </c>
      <c r="N227" s="47"/>
      <c r="O227" s="48" t="str">
        <f t="shared" si="14"/>
        <v>Sáu</v>
      </c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42">
        <v>62827.0</v>
      </c>
      <c r="B228" s="42" t="s">
        <v>27</v>
      </c>
      <c r="C228" s="42" t="s">
        <v>23</v>
      </c>
      <c r="D228" s="43">
        <v>46256.0</v>
      </c>
      <c r="E228" s="53">
        <v>0.3326388888888889</v>
      </c>
      <c r="F228" s="44">
        <f>IFERROR(__xludf.DUMMYFUNCTION("MIN(ARRAYFORMULA(TIMEVALUE(SPLIT(E228,"" ""))))"),0.3326388888888889)</f>
        <v>0.3326388889</v>
      </c>
      <c r="G228" s="44">
        <f>IFERROR(__xludf.DUMMYFUNCTION("MAX(ARRAYFORMULA(TIMEVALUE(SPLIT(E228,"" ""))))"),0.3326388888888889)</f>
        <v>0.3326388889</v>
      </c>
      <c r="H228" s="45"/>
      <c r="I228" s="45"/>
      <c r="J228" s="55">
        <v>3.0</v>
      </c>
      <c r="K228" s="27"/>
      <c r="L228" s="38"/>
      <c r="M228" s="38" t="str">
        <f t="shared" si="9"/>
        <v/>
      </c>
      <c r="N228" s="47" t="s">
        <v>128</v>
      </c>
      <c r="O228" s="48" t="str">
        <f t="shared" si="14"/>
        <v>Bảy</v>
      </c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42">
        <v>62827.0</v>
      </c>
      <c r="B229" s="42" t="s">
        <v>27</v>
      </c>
      <c r="C229" s="42" t="s">
        <v>23</v>
      </c>
      <c r="D229" s="43">
        <v>46258.0</v>
      </c>
      <c r="E229" s="42" t="s">
        <v>225</v>
      </c>
      <c r="F229" s="44">
        <f>IFERROR(__xludf.DUMMYFUNCTION("MIN(ARRAYFORMULA(TIMEVALUE(SPLIT(E229,"" ""))))"),0.325)</f>
        <v>0.325</v>
      </c>
      <c r="G229" s="44">
        <f>IFERROR(__xludf.DUMMYFUNCTION("MAX(ARRAYFORMULA(TIMEVALUE(SPLIT(E229,"" ""))))"),0.8090277777777778)</f>
        <v>0.8090277778</v>
      </c>
      <c r="H229" s="45"/>
      <c r="I229" s="45"/>
      <c r="J229" s="46">
        <f t="shared" ref="J229:J260" si="15">IF(WEEKDAY(D229,2)=7,IF(AND(F229&lt;TIME(8,15,0),G229&gt;=TIME(11,55,0)),1,0)+IF(AND(F229&lt;TIME(13,45,0),G229&gt;=TIME(17,55,0)),1,0),IF(AND(F229&lt;TIME(8,15,0),G229&gt;=TIME(11,55,0)),1,0)+IF(AND(F229&lt;TIME(13,45,0),G229&gt;=TIME(17,25,0)),1,0)+IF(AND(F229&lt;TIME(15,45,0),G229&gt;=TIME(19,25,0)),1,0))</f>
        <v>3</v>
      </c>
      <c r="K229" s="27"/>
      <c r="L229" s="38"/>
      <c r="M229" s="38" t="str">
        <f t="shared" si="9"/>
        <v/>
      </c>
      <c r="N229" s="47"/>
      <c r="O229" s="48" t="str">
        <f t="shared" si="14"/>
        <v>Hai</v>
      </c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42">
        <v>62827.0</v>
      </c>
      <c r="B230" s="42" t="s">
        <v>27</v>
      </c>
      <c r="C230" s="42" t="s">
        <v>23</v>
      </c>
      <c r="D230" s="43">
        <v>46259.0</v>
      </c>
      <c r="E230" s="42" t="s">
        <v>226</v>
      </c>
      <c r="F230" s="44">
        <f>IFERROR(__xludf.DUMMYFUNCTION("MIN(ARRAYFORMULA(TIMEVALUE(SPLIT(E230,"" ""))))"),0.3347222222222222)</f>
        <v>0.3347222222</v>
      </c>
      <c r="G230" s="44">
        <f>IFERROR(__xludf.DUMMYFUNCTION("MAX(ARRAYFORMULA(TIMEVALUE(SPLIT(E230,"" ""))))"),0.8125)</f>
        <v>0.8125</v>
      </c>
      <c r="H230" s="42">
        <v>2.0</v>
      </c>
      <c r="I230" s="45"/>
      <c r="J230" s="46">
        <f t="shared" si="15"/>
        <v>3</v>
      </c>
      <c r="K230" s="27"/>
      <c r="L230" s="38"/>
      <c r="M230" s="38" t="str">
        <f t="shared" si="9"/>
        <v/>
      </c>
      <c r="N230" s="47"/>
      <c r="O230" s="48" t="str">
        <f t="shared" si="14"/>
        <v>Ba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42">
        <v>62827.0</v>
      </c>
      <c r="B231" s="42" t="s">
        <v>27</v>
      </c>
      <c r="C231" s="42" t="s">
        <v>23</v>
      </c>
      <c r="D231" s="43">
        <v>46261.0</v>
      </c>
      <c r="E231" s="42" t="s">
        <v>227</v>
      </c>
      <c r="F231" s="44">
        <f>IFERROR(__xludf.DUMMYFUNCTION("MIN(ARRAYFORMULA(TIMEVALUE(SPLIT(E231,"" ""))))"),0.3326388888888889)</f>
        <v>0.3326388889</v>
      </c>
      <c r="G231" s="44">
        <f>IFERROR(__xludf.DUMMYFUNCTION("MAX(ARRAYFORMULA(TIMEVALUE(SPLIT(E231,"" ""))))"),0.8104166666666667)</f>
        <v>0.8104166667</v>
      </c>
      <c r="H231" s="45"/>
      <c r="I231" s="45"/>
      <c r="J231" s="46">
        <f t="shared" si="15"/>
        <v>3</v>
      </c>
      <c r="K231" s="27"/>
      <c r="L231" s="38"/>
      <c r="M231" s="38" t="str">
        <f t="shared" si="9"/>
        <v/>
      </c>
      <c r="N231" s="47"/>
      <c r="O231" s="48" t="str">
        <f t="shared" si="14"/>
        <v>Năm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42">
        <v>62827.0</v>
      </c>
      <c r="B232" s="42" t="s">
        <v>27</v>
      </c>
      <c r="C232" s="42" t="s">
        <v>23</v>
      </c>
      <c r="D232" s="43">
        <v>46262.0</v>
      </c>
      <c r="E232" s="42" t="s">
        <v>109</v>
      </c>
      <c r="F232" s="44">
        <f>IFERROR(__xludf.DUMMYFUNCTION("MIN(ARRAYFORMULA(TIMEVALUE(SPLIT(E232,"" ""))))"),0.3277777777777778)</f>
        <v>0.3277777778</v>
      </c>
      <c r="G232" s="44">
        <f>IFERROR(__xludf.DUMMYFUNCTION("MAX(ARRAYFORMULA(TIMEVALUE(SPLIT(E232,"" ""))))"),0.8125)</f>
        <v>0.8125</v>
      </c>
      <c r="H232" s="45"/>
      <c r="I232" s="45"/>
      <c r="J232" s="46">
        <f t="shared" si="15"/>
        <v>3</v>
      </c>
      <c r="K232" s="27"/>
      <c r="L232" s="38"/>
      <c r="M232" s="38" t="str">
        <f t="shared" si="9"/>
        <v/>
      </c>
      <c r="N232" s="47"/>
      <c r="O232" s="48" t="str">
        <f t="shared" si="14"/>
        <v>Sáu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42">
        <v>62827.0</v>
      </c>
      <c r="B233" s="42" t="s">
        <v>27</v>
      </c>
      <c r="C233" s="42" t="s">
        <v>23</v>
      </c>
      <c r="D233" s="43">
        <v>46263.0</v>
      </c>
      <c r="E233" s="42" t="s">
        <v>171</v>
      </c>
      <c r="F233" s="44">
        <f>IFERROR(__xludf.DUMMYFUNCTION("MIN(ARRAYFORMULA(TIMEVALUE(SPLIT(E233,"" ""))))"),0.325)</f>
        <v>0.325</v>
      </c>
      <c r="G233" s="44">
        <f>IFERROR(__xludf.DUMMYFUNCTION("MAX(ARRAYFORMULA(TIMEVALUE(SPLIT(E233,"" ""))))"),0.8125)</f>
        <v>0.8125</v>
      </c>
      <c r="H233" s="45"/>
      <c r="I233" s="45"/>
      <c r="J233" s="46">
        <f t="shared" si="15"/>
        <v>3</v>
      </c>
      <c r="K233" s="27"/>
      <c r="L233" s="38"/>
      <c r="M233" s="38" t="str">
        <f t="shared" si="9"/>
        <v/>
      </c>
      <c r="N233" s="47"/>
      <c r="O233" s="48" t="str">
        <f t="shared" si="14"/>
        <v>Bảy</v>
      </c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42">
        <v>62827.0</v>
      </c>
      <c r="B234" s="42" t="s">
        <v>27</v>
      </c>
      <c r="C234" s="42" t="s">
        <v>23</v>
      </c>
      <c r="D234" s="43">
        <v>46264.0</v>
      </c>
      <c r="E234" s="42" t="s">
        <v>228</v>
      </c>
      <c r="F234" s="44">
        <f>IFERROR(__xludf.DUMMYFUNCTION("MIN(ARRAYFORMULA(TIMEVALUE(SPLIT(E234,"" ""))))"),0.33125)</f>
        <v>0.33125</v>
      </c>
      <c r="G234" s="44">
        <f>IFERROR(__xludf.DUMMYFUNCTION("MAX(ARRAYFORMULA(TIMEVALUE(SPLIT(E234,"" ""))))"),0.75)</f>
        <v>0.75</v>
      </c>
      <c r="H234" s="45"/>
      <c r="I234" s="45"/>
      <c r="J234" s="46">
        <f t="shared" si="15"/>
        <v>2</v>
      </c>
      <c r="K234" s="27"/>
      <c r="L234" s="38"/>
      <c r="M234" s="38">
        <f t="shared" si="9"/>
        <v>1</v>
      </c>
      <c r="N234" s="47"/>
      <c r="O234" s="48" t="str">
        <f t="shared" si="14"/>
        <v>CN</v>
      </c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42">
        <v>62827.0</v>
      </c>
      <c r="B235" s="42" t="s">
        <v>27</v>
      </c>
      <c r="C235" s="42" t="s">
        <v>23</v>
      </c>
      <c r="D235" s="43">
        <v>46265.0</v>
      </c>
      <c r="E235" s="42" t="s">
        <v>229</v>
      </c>
      <c r="F235" s="44">
        <f>IFERROR(__xludf.DUMMYFUNCTION("MIN(ARRAYFORMULA(TIMEVALUE(SPLIT(E235,"" ""))))"),0.33125)</f>
        <v>0.33125</v>
      </c>
      <c r="G235" s="44">
        <f>IFERROR(__xludf.DUMMYFUNCTION("MAX(ARRAYFORMULA(TIMEVALUE(SPLIT(E235,"" ""))))"),0.8131944444444444)</f>
        <v>0.8131944444</v>
      </c>
      <c r="H235" s="45"/>
      <c r="I235" s="45"/>
      <c r="J235" s="46">
        <f t="shared" si="15"/>
        <v>3</v>
      </c>
      <c r="K235" s="27"/>
      <c r="L235" s="38"/>
      <c r="M235" s="38" t="str">
        <f t="shared" si="9"/>
        <v/>
      </c>
      <c r="N235" s="47"/>
      <c r="O235" s="48" t="str">
        <f t="shared" si="14"/>
        <v>Hai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42">
        <v>62053.0</v>
      </c>
      <c r="B236" s="42" t="s">
        <v>44</v>
      </c>
      <c r="C236" s="42" t="s">
        <v>45</v>
      </c>
      <c r="D236" s="43">
        <v>46235.0</v>
      </c>
      <c r="E236" s="42" t="s">
        <v>105</v>
      </c>
      <c r="F236" s="44">
        <f>IFERROR(__xludf.DUMMYFUNCTION("MIN(ARRAYFORMULA(TIMEVALUE(SPLIT(E236,"" ""))))"),0.32569444444444445)</f>
        <v>0.3256944444</v>
      </c>
      <c r="G236" s="44">
        <f>IFERROR(__xludf.DUMMYFUNCTION("MAX(ARRAYFORMULA(TIMEVALUE(SPLIT(E236,"" ""))))"),0.8125)</f>
        <v>0.8125</v>
      </c>
      <c r="H236" s="45"/>
      <c r="I236" s="45"/>
      <c r="J236" s="46">
        <f t="shared" si="15"/>
        <v>3</v>
      </c>
      <c r="K236" s="27"/>
      <c r="L236" s="38"/>
      <c r="M236" s="38" t="str">
        <f t="shared" si="9"/>
        <v/>
      </c>
      <c r="N236" s="47"/>
      <c r="O236" s="48" t="str">
        <f t="shared" si="14"/>
        <v>Bảy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42">
        <v>62053.0</v>
      </c>
      <c r="B237" s="42" t="s">
        <v>44</v>
      </c>
      <c r="C237" s="42" t="s">
        <v>45</v>
      </c>
      <c r="D237" s="43">
        <v>46237.0</v>
      </c>
      <c r="E237" s="42" t="s">
        <v>101</v>
      </c>
      <c r="F237" s="44">
        <f>IFERROR(__xludf.DUMMYFUNCTION("MIN(ARRAYFORMULA(TIMEVALUE(SPLIT(E237,"" ""))))"),0.3263888888888889)</f>
        <v>0.3263888889</v>
      </c>
      <c r="G237" s="44">
        <f>IFERROR(__xludf.DUMMYFUNCTION("MAX(ARRAYFORMULA(TIMEVALUE(SPLIT(E237,"" ""))))"),0.8125)</f>
        <v>0.8125</v>
      </c>
      <c r="H237" s="45"/>
      <c r="I237" s="45"/>
      <c r="J237" s="46">
        <f t="shared" si="15"/>
        <v>3</v>
      </c>
      <c r="K237" s="27"/>
      <c r="L237" s="38"/>
      <c r="M237" s="38" t="str">
        <f t="shared" si="9"/>
        <v/>
      </c>
      <c r="N237" s="47"/>
      <c r="O237" s="48" t="str">
        <f t="shared" si="14"/>
        <v>Hai</v>
      </c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42">
        <v>62053.0</v>
      </c>
      <c r="B238" s="42" t="s">
        <v>44</v>
      </c>
      <c r="C238" s="42" t="s">
        <v>45</v>
      </c>
      <c r="D238" s="43">
        <v>46238.0</v>
      </c>
      <c r="E238" s="42" t="s">
        <v>230</v>
      </c>
      <c r="F238" s="44">
        <f>IFERROR(__xludf.DUMMYFUNCTION("MIN(ARRAYFORMULA(TIMEVALUE(SPLIT(E238,"" ""))))"),0.3298611111111111)</f>
        <v>0.3298611111</v>
      </c>
      <c r="G238" s="44">
        <f>IFERROR(__xludf.DUMMYFUNCTION("MAX(ARRAYFORMULA(TIMEVALUE(SPLIT(E238,"" ""))))"),0.7333333333333333)</f>
        <v>0.7333333333</v>
      </c>
      <c r="H238" s="45"/>
      <c r="I238" s="45"/>
      <c r="J238" s="46">
        <f t="shared" si="15"/>
        <v>2</v>
      </c>
      <c r="K238" s="27"/>
      <c r="L238" s="38"/>
      <c r="M238" s="38" t="str">
        <f t="shared" si="9"/>
        <v/>
      </c>
      <c r="N238" s="47"/>
      <c r="O238" s="48" t="str">
        <f t="shared" si="14"/>
        <v>Ba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42">
        <v>62053.0</v>
      </c>
      <c r="B239" s="42" t="s">
        <v>44</v>
      </c>
      <c r="C239" s="42" t="s">
        <v>45</v>
      </c>
      <c r="D239" s="43">
        <v>46239.0</v>
      </c>
      <c r="E239" s="42" t="s">
        <v>231</v>
      </c>
      <c r="F239" s="44">
        <f>IFERROR(__xludf.DUMMYFUNCTION("MIN(ARRAYFORMULA(TIMEVALUE(SPLIT(E239,"" ""))))"),0.3326388888888889)</f>
        <v>0.3326388889</v>
      </c>
      <c r="G239" s="44">
        <f>IFERROR(__xludf.DUMMYFUNCTION("MAX(ARRAYFORMULA(TIMEVALUE(SPLIT(E239,"" ""))))"),0.8138888888888889)</f>
        <v>0.8138888889</v>
      </c>
      <c r="H239" s="45"/>
      <c r="I239" s="45"/>
      <c r="J239" s="46">
        <f t="shared" si="15"/>
        <v>3</v>
      </c>
      <c r="K239" s="27"/>
      <c r="L239" s="38"/>
      <c r="M239" s="38" t="str">
        <f t="shared" si="9"/>
        <v/>
      </c>
      <c r="N239" s="47"/>
      <c r="O239" s="48" t="str">
        <f t="shared" si="14"/>
        <v>Tư</v>
      </c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42">
        <v>62053.0</v>
      </c>
      <c r="B240" s="42" t="s">
        <v>44</v>
      </c>
      <c r="C240" s="42" t="s">
        <v>45</v>
      </c>
      <c r="D240" s="43">
        <v>46240.0</v>
      </c>
      <c r="E240" s="42" t="s">
        <v>232</v>
      </c>
      <c r="F240" s="44">
        <f>IFERROR(__xludf.DUMMYFUNCTION("MIN(ARRAYFORMULA(TIMEVALUE(SPLIT(E240,"" ""))))"),0.3277777777777778)</f>
        <v>0.3277777778</v>
      </c>
      <c r="G240" s="44">
        <f>IFERROR(__xludf.DUMMYFUNCTION("MAX(ARRAYFORMULA(TIMEVALUE(SPLIT(E240,"" ""))))"),0.7423611111111111)</f>
        <v>0.7423611111</v>
      </c>
      <c r="H240" s="45"/>
      <c r="I240" s="45"/>
      <c r="J240" s="46">
        <f t="shared" si="15"/>
        <v>2</v>
      </c>
      <c r="K240" s="27"/>
      <c r="L240" s="38"/>
      <c r="M240" s="38" t="str">
        <f t="shared" si="9"/>
        <v/>
      </c>
      <c r="N240" s="47"/>
      <c r="O240" s="48" t="str">
        <f t="shared" si="14"/>
        <v>Năm</v>
      </c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42">
        <v>62053.0</v>
      </c>
      <c r="B241" s="42" t="s">
        <v>44</v>
      </c>
      <c r="C241" s="42" t="s">
        <v>45</v>
      </c>
      <c r="D241" s="43">
        <v>46241.0</v>
      </c>
      <c r="E241" s="42" t="s">
        <v>38</v>
      </c>
      <c r="F241" s="44">
        <f>IFERROR(__xludf.DUMMYFUNCTION("MIN(ARRAYFORMULA(TIMEVALUE(SPLIT(E241,"" ""))))"),0.3298611111111111)</f>
        <v>0.3298611111</v>
      </c>
      <c r="G241" s="44">
        <f>IFERROR(__xludf.DUMMYFUNCTION("MAX(ARRAYFORMULA(TIMEVALUE(SPLIT(E241,"" ""))))"),0.8131944444444444)</f>
        <v>0.8131944444</v>
      </c>
      <c r="H241" s="45"/>
      <c r="I241" s="45"/>
      <c r="J241" s="46">
        <f t="shared" si="15"/>
        <v>3</v>
      </c>
      <c r="K241" s="27"/>
      <c r="L241" s="38"/>
      <c r="M241" s="38" t="str">
        <f t="shared" si="9"/>
        <v/>
      </c>
      <c r="N241" s="47"/>
      <c r="O241" s="48" t="str">
        <f t="shared" si="14"/>
        <v>Sáu</v>
      </c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42">
        <v>62053.0</v>
      </c>
      <c r="B242" s="42" t="s">
        <v>44</v>
      </c>
      <c r="C242" s="42" t="s">
        <v>45</v>
      </c>
      <c r="D242" s="43">
        <v>46242.0</v>
      </c>
      <c r="E242" s="42" t="s">
        <v>233</v>
      </c>
      <c r="F242" s="44">
        <f>IFERROR(__xludf.DUMMYFUNCTION("MIN(ARRAYFORMULA(TIMEVALUE(SPLIT(E242,"" ""))))"),0.3236111111111111)</f>
        <v>0.3236111111</v>
      </c>
      <c r="G242" s="44">
        <f>IFERROR(__xludf.DUMMYFUNCTION("MAX(ARRAYFORMULA(TIMEVALUE(SPLIT(E242,"" ""))))"),0.7298611111111111)</f>
        <v>0.7298611111</v>
      </c>
      <c r="H242" s="45"/>
      <c r="I242" s="45"/>
      <c r="J242" s="46">
        <f t="shared" si="15"/>
        <v>2</v>
      </c>
      <c r="K242" s="27"/>
      <c r="L242" s="38"/>
      <c r="M242" s="38" t="str">
        <f t="shared" si="9"/>
        <v/>
      </c>
      <c r="N242" s="47"/>
      <c r="O242" s="48" t="str">
        <f t="shared" si="14"/>
        <v>Bảy</v>
      </c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42">
        <v>62053.0</v>
      </c>
      <c r="B243" s="42" t="s">
        <v>44</v>
      </c>
      <c r="C243" s="42" t="s">
        <v>45</v>
      </c>
      <c r="D243" s="43">
        <v>46243.0</v>
      </c>
      <c r="E243" s="42" t="s">
        <v>95</v>
      </c>
      <c r="F243" s="44">
        <f>IFERROR(__xludf.DUMMYFUNCTION("MIN(ARRAYFORMULA(TIMEVALUE(SPLIT(E243,"" ""))))"),0.33055555555555555)</f>
        <v>0.3305555556</v>
      </c>
      <c r="G243" s="44">
        <f>IFERROR(__xludf.DUMMYFUNCTION("MAX(ARRAYFORMULA(TIMEVALUE(SPLIT(E243,"" ""))))"),0.75)</f>
        <v>0.75</v>
      </c>
      <c r="H243" s="45"/>
      <c r="I243" s="45"/>
      <c r="J243" s="46">
        <f t="shared" si="15"/>
        <v>2</v>
      </c>
      <c r="K243" s="27"/>
      <c r="L243" s="38"/>
      <c r="M243" s="38">
        <f t="shared" si="9"/>
        <v>1</v>
      </c>
      <c r="N243" s="47"/>
      <c r="O243" s="48" t="str">
        <f t="shared" si="14"/>
        <v>CN</v>
      </c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42">
        <v>62053.0</v>
      </c>
      <c r="B244" s="42" t="s">
        <v>44</v>
      </c>
      <c r="C244" s="42" t="s">
        <v>45</v>
      </c>
      <c r="D244" s="43">
        <v>46244.0</v>
      </c>
      <c r="E244" s="42" t="s">
        <v>234</v>
      </c>
      <c r="F244" s="44">
        <f>IFERROR(__xludf.DUMMYFUNCTION("MIN(ARRAYFORMULA(TIMEVALUE(SPLIT(E244,"" ""))))"),0.33402777777777776)</f>
        <v>0.3340277778</v>
      </c>
      <c r="G244" s="44">
        <f>IFERROR(__xludf.DUMMYFUNCTION("MAX(ARRAYFORMULA(TIMEVALUE(SPLIT(E244,"" ""))))"),0.7291666666666666)</f>
        <v>0.7291666667</v>
      </c>
      <c r="H244" s="42">
        <v>1.0</v>
      </c>
      <c r="I244" s="45"/>
      <c r="J244" s="46">
        <f t="shared" si="15"/>
        <v>2</v>
      </c>
      <c r="K244" s="27"/>
      <c r="L244" s="38"/>
      <c r="M244" s="38" t="str">
        <f t="shared" si="9"/>
        <v/>
      </c>
      <c r="N244" s="47"/>
      <c r="O244" s="48" t="str">
        <f t="shared" si="14"/>
        <v>Hai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42">
        <v>62053.0</v>
      </c>
      <c r="B245" s="42" t="s">
        <v>44</v>
      </c>
      <c r="C245" s="42" t="s">
        <v>45</v>
      </c>
      <c r="D245" s="43">
        <v>46248.0</v>
      </c>
      <c r="E245" s="42" t="s">
        <v>70</v>
      </c>
      <c r="F245" s="44">
        <f>IFERROR(__xludf.DUMMYFUNCTION("MIN(ARRAYFORMULA(TIMEVALUE(SPLIT(E245,"" ""))))"),0.33194444444444443)</f>
        <v>0.3319444444</v>
      </c>
      <c r="G245" s="44">
        <f>IFERROR(__xludf.DUMMYFUNCTION("MAX(ARRAYFORMULA(TIMEVALUE(SPLIT(E245,"" ""))))"),0.8125)</f>
        <v>0.8125</v>
      </c>
      <c r="H245" s="45"/>
      <c r="I245" s="45"/>
      <c r="J245" s="46">
        <f t="shared" si="15"/>
        <v>3</v>
      </c>
      <c r="K245" s="27"/>
      <c r="L245" s="38"/>
      <c r="M245" s="38" t="str">
        <f t="shared" si="9"/>
        <v/>
      </c>
      <c r="N245" s="47"/>
      <c r="O245" s="48" t="str">
        <f t="shared" si="14"/>
        <v>Sáu</v>
      </c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42">
        <v>62053.0</v>
      </c>
      <c r="B246" s="42" t="s">
        <v>44</v>
      </c>
      <c r="C246" s="42" t="s">
        <v>45</v>
      </c>
      <c r="D246" s="43">
        <v>46249.0</v>
      </c>
      <c r="E246" s="42" t="s">
        <v>109</v>
      </c>
      <c r="F246" s="44">
        <f>IFERROR(__xludf.DUMMYFUNCTION("MIN(ARRAYFORMULA(TIMEVALUE(SPLIT(E246,"" ""))))"),0.3277777777777778)</f>
        <v>0.3277777778</v>
      </c>
      <c r="G246" s="44">
        <f>IFERROR(__xludf.DUMMYFUNCTION("MAX(ARRAYFORMULA(TIMEVALUE(SPLIT(E246,"" ""))))"),0.8125)</f>
        <v>0.8125</v>
      </c>
      <c r="H246" s="45"/>
      <c r="I246" s="45"/>
      <c r="J246" s="46">
        <f t="shared" si="15"/>
        <v>3</v>
      </c>
      <c r="K246" s="27"/>
      <c r="L246" s="38"/>
      <c r="M246" s="38" t="str">
        <f t="shared" si="9"/>
        <v/>
      </c>
      <c r="N246" s="47"/>
      <c r="O246" s="48" t="str">
        <f t="shared" si="14"/>
        <v>Bảy</v>
      </c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42">
        <v>62053.0</v>
      </c>
      <c r="B247" s="42" t="s">
        <v>44</v>
      </c>
      <c r="C247" s="42" t="s">
        <v>45</v>
      </c>
      <c r="D247" s="43">
        <v>46251.0</v>
      </c>
      <c r="E247" s="42" t="s">
        <v>235</v>
      </c>
      <c r="F247" s="44">
        <f>IFERROR(__xludf.DUMMYFUNCTION("MIN(ARRAYFORMULA(TIMEVALUE(SPLIT(E247,"" ""))))"),0.3284722222222222)</f>
        <v>0.3284722222</v>
      </c>
      <c r="G247" s="44">
        <f>IFERROR(__xludf.DUMMYFUNCTION("MAX(ARRAYFORMULA(TIMEVALUE(SPLIT(E247,"" ""))))"),0.8194444444444444)</f>
        <v>0.8194444444</v>
      </c>
      <c r="H247" s="45"/>
      <c r="I247" s="45"/>
      <c r="J247" s="46">
        <f t="shared" si="15"/>
        <v>3</v>
      </c>
      <c r="K247" s="27"/>
      <c r="L247" s="38"/>
      <c r="M247" s="38" t="str">
        <f t="shared" si="9"/>
        <v/>
      </c>
      <c r="N247" s="47"/>
      <c r="O247" s="48" t="str">
        <f t="shared" si="14"/>
        <v>Hai</v>
      </c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42">
        <v>62053.0</v>
      </c>
      <c r="B248" s="42" t="s">
        <v>44</v>
      </c>
      <c r="C248" s="42" t="s">
        <v>45</v>
      </c>
      <c r="D248" s="43">
        <v>46252.0</v>
      </c>
      <c r="E248" s="42" t="s">
        <v>236</v>
      </c>
      <c r="F248" s="44">
        <f>IFERROR(__xludf.DUMMYFUNCTION("MIN(ARRAYFORMULA(TIMEVALUE(SPLIT(E248,"" ""))))"),0.3298611111111111)</f>
        <v>0.3298611111</v>
      </c>
      <c r="G248" s="44">
        <f>IFERROR(__xludf.DUMMYFUNCTION("MAX(ARRAYFORMULA(TIMEVALUE(SPLIT(E248,"" ""))))"),0.8131944444444444)</f>
        <v>0.8131944444</v>
      </c>
      <c r="H248" s="45"/>
      <c r="I248" s="45"/>
      <c r="J248" s="46">
        <f t="shared" si="15"/>
        <v>3</v>
      </c>
      <c r="K248" s="27"/>
      <c r="L248" s="38"/>
      <c r="M248" s="38" t="str">
        <f t="shared" si="9"/>
        <v/>
      </c>
      <c r="N248" s="47"/>
      <c r="O248" s="48" t="str">
        <f t="shared" si="14"/>
        <v>Ba</v>
      </c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42">
        <v>62053.0</v>
      </c>
      <c r="B249" s="42" t="s">
        <v>44</v>
      </c>
      <c r="C249" s="42" t="s">
        <v>45</v>
      </c>
      <c r="D249" s="43">
        <v>46253.0</v>
      </c>
      <c r="E249" s="42" t="s">
        <v>237</v>
      </c>
      <c r="F249" s="44">
        <f>IFERROR(__xludf.DUMMYFUNCTION("MIN(ARRAYFORMULA(TIMEVALUE(SPLIT(E249,"" ""))))"),0.3263888888888889)</f>
        <v>0.3263888889</v>
      </c>
      <c r="G249" s="44">
        <f>IFERROR(__xludf.DUMMYFUNCTION("MAX(ARRAYFORMULA(TIMEVALUE(SPLIT(E249,"" ""))))"),0.7291666666666666)</f>
        <v>0.7291666667</v>
      </c>
      <c r="H249" s="45"/>
      <c r="I249" s="45"/>
      <c r="J249" s="46">
        <f t="shared" si="15"/>
        <v>2</v>
      </c>
      <c r="K249" s="27"/>
      <c r="L249" s="38"/>
      <c r="M249" s="38" t="str">
        <f t="shared" si="9"/>
        <v/>
      </c>
      <c r="N249" s="47"/>
      <c r="O249" s="48" t="str">
        <f t="shared" si="14"/>
        <v>Tư</v>
      </c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42">
        <v>62053.0</v>
      </c>
      <c r="B250" s="42" t="s">
        <v>44</v>
      </c>
      <c r="C250" s="42" t="s">
        <v>45</v>
      </c>
      <c r="D250" s="43">
        <v>46254.0</v>
      </c>
      <c r="E250" s="42" t="s">
        <v>132</v>
      </c>
      <c r="F250" s="44">
        <f>IFERROR(__xludf.DUMMYFUNCTION("MIN(ARRAYFORMULA(TIMEVALUE(SPLIT(E250,"" ""))))"),0.33055555555555555)</f>
        <v>0.3305555556</v>
      </c>
      <c r="G250" s="44">
        <f>IFERROR(__xludf.DUMMYFUNCTION("MAX(ARRAYFORMULA(TIMEVALUE(SPLIT(E250,"" ""))))"),0.8131944444444444)</f>
        <v>0.8131944444</v>
      </c>
      <c r="H250" s="45"/>
      <c r="I250" s="45"/>
      <c r="J250" s="46">
        <f t="shared" si="15"/>
        <v>3</v>
      </c>
      <c r="K250" s="27"/>
      <c r="L250" s="51">
        <v>2.0</v>
      </c>
      <c r="M250" s="38" t="str">
        <f t="shared" si="9"/>
        <v/>
      </c>
      <c r="N250" s="47" t="s">
        <v>238</v>
      </c>
      <c r="O250" s="48" t="str">
        <f t="shared" si="14"/>
        <v>Năm</v>
      </c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42">
        <v>62053.0</v>
      </c>
      <c r="B251" s="42" t="s">
        <v>44</v>
      </c>
      <c r="C251" s="42" t="s">
        <v>45</v>
      </c>
      <c r="D251" s="43">
        <v>46256.0</v>
      </c>
      <c r="E251" s="42" t="s">
        <v>239</v>
      </c>
      <c r="F251" s="44">
        <f>IFERROR(__xludf.DUMMYFUNCTION("MIN(ARRAYFORMULA(TIMEVALUE(SPLIT(E251,"" ""))))"),0.3236111111111111)</f>
        <v>0.3236111111</v>
      </c>
      <c r="G251" s="44">
        <f>IFERROR(__xludf.DUMMYFUNCTION("MAX(ARRAYFORMULA(TIMEVALUE(SPLIT(E251,"" ""))))"),0.7291666666666666)</f>
        <v>0.7291666667</v>
      </c>
      <c r="H251" s="45"/>
      <c r="I251" s="45"/>
      <c r="J251" s="46">
        <f t="shared" si="15"/>
        <v>2</v>
      </c>
      <c r="K251" s="27"/>
      <c r="L251" s="38"/>
      <c r="M251" s="38" t="str">
        <f t="shared" si="9"/>
        <v/>
      </c>
      <c r="N251" s="47"/>
      <c r="O251" s="48" t="str">
        <f t="shared" si="14"/>
        <v>Bảy</v>
      </c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42">
        <v>62053.0</v>
      </c>
      <c r="B252" s="42" t="s">
        <v>44</v>
      </c>
      <c r="C252" s="42" t="s">
        <v>45</v>
      </c>
      <c r="D252" s="43">
        <v>46258.0</v>
      </c>
      <c r="E252" s="42" t="s">
        <v>240</v>
      </c>
      <c r="F252" s="44">
        <f>IFERROR(__xludf.DUMMYFUNCTION("MIN(ARRAYFORMULA(TIMEVALUE(SPLIT(E252,"" ""))))"),0.32430555555555557)</f>
        <v>0.3243055556</v>
      </c>
      <c r="G252" s="44">
        <f>IFERROR(__xludf.DUMMYFUNCTION("MAX(ARRAYFORMULA(TIMEVALUE(SPLIT(E252,"" ""))))"),0.8138888888888889)</f>
        <v>0.8138888889</v>
      </c>
      <c r="H252" s="45"/>
      <c r="I252" s="45"/>
      <c r="J252" s="46">
        <f t="shared" si="15"/>
        <v>3</v>
      </c>
      <c r="K252" s="27"/>
      <c r="L252" s="38"/>
      <c r="M252" s="38" t="str">
        <f t="shared" si="9"/>
        <v/>
      </c>
      <c r="N252" s="47"/>
      <c r="O252" s="48" t="str">
        <f t="shared" si="14"/>
        <v>Hai</v>
      </c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42">
        <v>62053.0</v>
      </c>
      <c r="B253" s="42" t="s">
        <v>44</v>
      </c>
      <c r="C253" s="42" t="s">
        <v>45</v>
      </c>
      <c r="D253" s="43">
        <v>46259.0</v>
      </c>
      <c r="E253" s="42" t="s">
        <v>113</v>
      </c>
      <c r="F253" s="44">
        <f>IFERROR(__xludf.DUMMYFUNCTION("MIN(ARRAYFORMULA(TIMEVALUE(SPLIT(E253,"" ""))))"),0.32569444444444445)</f>
        <v>0.3256944444</v>
      </c>
      <c r="G253" s="44">
        <f>IFERROR(__xludf.DUMMYFUNCTION("MAX(ARRAYFORMULA(TIMEVALUE(SPLIT(E253,"" ""))))"),0.8131944444444444)</f>
        <v>0.8131944444</v>
      </c>
      <c r="H253" s="45"/>
      <c r="I253" s="45"/>
      <c r="J253" s="46">
        <f t="shared" si="15"/>
        <v>3</v>
      </c>
      <c r="K253" s="27"/>
      <c r="L253" s="38"/>
      <c r="M253" s="38" t="str">
        <f t="shared" si="9"/>
        <v/>
      </c>
      <c r="N253" s="47"/>
      <c r="O253" s="48" t="str">
        <f t="shared" si="14"/>
        <v>Ba</v>
      </c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42">
        <v>62053.0</v>
      </c>
      <c r="B254" s="42" t="s">
        <v>44</v>
      </c>
      <c r="C254" s="42" t="s">
        <v>45</v>
      </c>
      <c r="D254" s="43">
        <v>46260.0</v>
      </c>
      <c r="E254" s="42" t="s">
        <v>241</v>
      </c>
      <c r="F254" s="44">
        <f>IFERROR(__xludf.DUMMYFUNCTION("MIN(ARRAYFORMULA(TIMEVALUE(SPLIT(E254,"" ""))))"),0.32430555555555557)</f>
        <v>0.3243055556</v>
      </c>
      <c r="G254" s="44">
        <f>IFERROR(__xludf.DUMMYFUNCTION("MAX(ARRAYFORMULA(TIMEVALUE(SPLIT(E254,"" ""))))"),0.7298611111111111)</f>
        <v>0.7298611111</v>
      </c>
      <c r="H254" s="45"/>
      <c r="I254" s="45"/>
      <c r="J254" s="46">
        <f t="shared" si="15"/>
        <v>2</v>
      </c>
      <c r="K254" s="27"/>
      <c r="L254" s="38"/>
      <c r="M254" s="38" t="str">
        <f t="shared" si="9"/>
        <v/>
      </c>
      <c r="N254" s="47"/>
      <c r="O254" s="48" t="str">
        <f t="shared" si="14"/>
        <v>Tư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42">
        <v>62053.0</v>
      </c>
      <c r="B255" s="42" t="s">
        <v>44</v>
      </c>
      <c r="C255" s="42" t="s">
        <v>45</v>
      </c>
      <c r="D255" s="43">
        <v>46261.0</v>
      </c>
      <c r="E255" s="42" t="s">
        <v>105</v>
      </c>
      <c r="F255" s="44">
        <f>IFERROR(__xludf.DUMMYFUNCTION("MIN(ARRAYFORMULA(TIMEVALUE(SPLIT(E255,"" ""))))"),0.32569444444444445)</f>
        <v>0.3256944444</v>
      </c>
      <c r="G255" s="44">
        <f>IFERROR(__xludf.DUMMYFUNCTION("MAX(ARRAYFORMULA(TIMEVALUE(SPLIT(E255,"" ""))))"),0.8125)</f>
        <v>0.8125</v>
      </c>
      <c r="H255" s="45"/>
      <c r="I255" s="45"/>
      <c r="J255" s="46">
        <f t="shared" si="15"/>
        <v>3</v>
      </c>
      <c r="K255" s="27"/>
      <c r="L255" s="38"/>
      <c r="M255" s="38" t="str">
        <f t="shared" si="9"/>
        <v/>
      </c>
      <c r="N255" s="47"/>
      <c r="O255" s="48" t="str">
        <f t="shared" si="14"/>
        <v>Năm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42">
        <v>62053.0</v>
      </c>
      <c r="B256" s="42" t="s">
        <v>44</v>
      </c>
      <c r="C256" s="42" t="s">
        <v>45</v>
      </c>
      <c r="D256" s="43">
        <v>46262.0</v>
      </c>
      <c r="E256" s="42" t="s">
        <v>242</v>
      </c>
      <c r="F256" s="44">
        <f>IFERROR(__xludf.DUMMYFUNCTION("MIN(ARRAYFORMULA(TIMEVALUE(SPLIT(E256,"" ""))))"),0.3277777777777778)</f>
        <v>0.3277777778</v>
      </c>
      <c r="G256" s="44">
        <f>IFERROR(__xludf.DUMMYFUNCTION("MAX(ARRAYFORMULA(TIMEVALUE(SPLIT(E256,"" ""))))"),0.7319444444444444)</f>
        <v>0.7319444444</v>
      </c>
      <c r="H256" s="45"/>
      <c r="I256" s="45"/>
      <c r="J256" s="46">
        <f t="shared" si="15"/>
        <v>2</v>
      </c>
      <c r="K256" s="27"/>
      <c r="L256" s="38"/>
      <c r="M256" s="38" t="str">
        <f t="shared" si="9"/>
        <v/>
      </c>
      <c r="N256" s="47"/>
      <c r="O256" s="48" t="str">
        <f t="shared" si="14"/>
        <v>Sáu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42">
        <v>62053.0</v>
      </c>
      <c r="B257" s="42" t="s">
        <v>44</v>
      </c>
      <c r="C257" s="42" t="s">
        <v>45</v>
      </c>
      <c r="D257" s="43">
        <v>46263.0</v>
      </c>
      <c r="E257" s="42" t="s">
        <v>243</v>
      </c>
      <c r="F257" s="44">
        <f>IFERROR(__xludf.DUMMYFUNCTION("MIN(ARRAYFORMULA(TIMEVALUE(SPLIT(E257,"" ""))))"),0.5541666666666667)</f>
        <v>0.5541666667</v>
      </c>
      <c r="G257" s="44">
        <f>IFERROR(__xludf.DUMMYFUNCTION("MAX(ARRAYFORMULA(TIMEVALUE(SPLIT(E257,"" ""))))"),0.8125)</f>
        <v>0.8125</v>
      </c>
      <c r="H257" s="45"/>
      <c r="I257" s="45"/>
      <c r="J257" s="46">
        <f t="shared" si="15"/>
        <v>2</v>
      </c>
      <c r="K257" s="27"/>
      <c r="L257" s="38"/>
      <c r="M257" s="38" t="str">
        <f t="shared" si="9"/>
        <v/>
      </c>
      <c r="N257" s="47"/>
      <c r="O257" s="48" t="str">
        <f t="shared" si="14"/>
        <v>Bảy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42">
        <v>62053.0</v>
      </c>
      <c r="B258" s="42" t="s">
        <v>44</v>
      </c>
      <c r="C258" s="42" t="s">
        <v>45</v>
      </c>
      <c r="D258" s="43">
        <v>46264.0</v>
      </c>
      <c r="E258" s="42" t="s">
        <v>107</v>
      </c>
      <c r="F258" s="44">
        <f>IFERROR(__xludf.DUMMYFUNCTION("MIN(ARRAYFORMULA(TIMEVALUE(SPLIT(E258,"" ""))))"),0.32569444444444445)</f>
        <v>0.3256944444</v>
      </c>
      <c r="G258" s="44">
        <f>IFERROR(__xludf.DUMMYFUNCTION("MAX(ARRAYFORMULA(TIMEVALUE(SPLIT(E258,"" ""))))"),0.75)</f>
        <v>0.75</v>
      </c>
      <c r="H258" s="45"/>
      <c r="I258" s="45"/>
      <c r="J258" s="46">
        <f t="shared" si="15"/>
        <v>2</v>
      </c>
      <c r="K258" s="27"/>
      <c r="L258" s="38"/>
      <c r="M258" s="38">
        <f t="shared" si="9"/>
        <v>1</v>
      </c>
      <c r="N258" s="47"/>
      <c r="O258" s="48" t="str">
        <f t="shared" si="14"/>
        <v>CN</v>
      </c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42">
        <v>62053.0</v>
      </c>
      <c r="B259" s="42" t="s">
        <v>44</v>
      </c>
      <c r="C259" s="42" t="s">
        <v>45</v>
      </c>
      <c r="D259" s="43">
        <v>46265.0</v>
      </c>
      <c r="E259" s="42" t="s">
        <v>237</v>
      </c>
      <c r="F259" s="44">
        <f>IFERROR(__xludf.DUMMYFUNCTION("MIN(ARRAYFORMULA(TIMEVALUE(SPLIT(E259,"" ""))))"),0.3263888888888889)</f>
        <v>0.3263888889</v>
      </c>
      <c r="G259" s="44">
        <f>IFERROR(__xludf.DUMMYFUNCTION("MAX(ARRAYFORMULA(TIMEVALUE(SPLIT(E259,"" ""))))"),0.7291666666666666)</f>
        <v>0.7291666667</v>
      </c>
      <c r="H259" s="45"/>
      <c r="I259" s="45"/>
      <c r="J259" s="46">
        <f t="shared" si="15"/>
        <v>2</v>
      </c>
      <c r="K259" s="27"/>
      <c r="L259" s="38"/>
      <c r="M259" s="38" t="str">
        <f t="shared" si="9"/>
        <v/>
      </c>
      <c r="N259" s="47"/>
      <c r="O259" s="48" t="str">
        <f t="shared" si="14"/>
        <v>Hai</v>
      </c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6">
        <v>9.32103436E8</v>
      </c>
      <c r="B260" s="26" t="s">
        <v>34</v>
      </c>
      <c r="C260" s="26" t="s">
        <v>23</v>
      </c>
      <c r="D260" s="28">
        <v>46235.0</v>
      </c>
      <c r="E260" s="26" t="s">
        <v>244</v>
      </c>
      <c r="F260" s="30">
        <f>IFERROR(__xludf.DUMMYFUNCTION("MIN(ARRAYFORMULA(TIMEVALUE(SPLIT(E260,"" ""))))"),0.44583333333333336)</f>
        <v>0.4458333333</v>
      </c>
      <c r="G260" s="30">
        <f>IFERROR(__xludf.DUMMYFUNCTION("MAX(ARRAYFORMULA(TIMEVALUE(SPLIT(E260,"" ""))))"),0.8097222222222222)</f>
        <v>0.8097222222</v>
      </c>
      <c r="H260" s="31"/>
      <c r="I260" s="31"/>
      <c r="J260" s="39">
        <f t="shared" si="15"/>
        <v>2</v>
      </c>
      <c r="K260" s="40"/>
      <c r="L260" s="31"/>
      <c r="M260" s="31" t="str">
        <f t="shared" si="9"/>
        <v/>
      </c>
      <c r="N260" s="26" t="s">
        <v>28</v>
      </c>
      <c r="O260" s="41"/>
      <c r="P260" s="41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42">
        <v>93436.0</v>
      </c>
      <c r="B261" s="42" t="s">
        <v>34</v>
      </c>
      <c r="C261" s="42" t="s">
        <v>23</v>
      </c>
      <c r="D261" s="43">
        <v>46237.0</v>
      </c>
      <c r="E261" s="42" t="s">
        <v>245</v>
      </c>
      <c r="F261" s="44">
        <f>IFERROR(__xludf.DUMMYFUNCTION("MIN(ARRAYFORMULA(TIMEVALUE(SPLIT(E261,"" ""))))"),0.5368055555555555)</f>
        <v>0.5368055556</v>
      </c>
      <c r="G261" s="44">
        <f>IFERROR(__xludf.DUMMYFUNCTION("MAX(ARRAYFORMULA(TIMEVALUE(SPLIT(E261,"" ""))))"),0.8055555555555556)</f>
        <v>0.8055555556</v>
      </c>
      <c r="H261" s="45"/>
      <c r="I261" s="45"/>
      <c r="J261" s="55">
        <v>2.0</v>
      </c>
      <c r="K261" s="27"/>
      <c r="L261" s="38"/>
      <c r="M261" s="38" t="str">
        <f t="shared" si="9"/>
        <v/>
      </c>
      <c r="N261" s="26" t="s">
        <v>60</v>
      </c>
      <c r="O261" s="48" t="str">
        <f t="shared" ref="O261:O263" si="16">CHOOSE(WEEKDAY(D261,2),"Hai","Ba","Tư","Năm","Sáu","Bảy","CN")</f>
        <v>Hai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42">
        <v>93436.0</v>
      </c>
      <c r="B262" s="42" t="s">
        <v>34</v>
      </c>
      <c r="C262" s="42" t="s">
        <v>23</v>
      </c>
      <c r="D262" s="43">
        <v>46239.0</v>
      </c>
      <c r="E262" s="42" t="s">
        <v>246</v>
      </c>
      <c r="F262" s="44">
        <f>IFERROR(__xludf.DUMMYFUNCTION("MIN(ARRAYFORMULA(TIMEVALUE(SPLIT(E262,"" ""))))"),0.5090277777777777)</f>
        <v>0.5090277778</v>
      </c>
      <c r="G262" s="44">
        <f>IFERROR(__xludf.DUMMYFUNCTION("MAX(ARRAYFORMULA(TIMEVALUE(SPLIT(E262,"" ""))))"),0.8048611111111111)</f>
        <v>0.8048611111</v>
      </c>
      <c r="H262" s="45"/>
      <c r="I262" s="45"/>
      <c r="J262" s="55">
        <v>2.0</v>
      </c>
      <c r="K262" s="27"/>
      <c r="L262" s="38"/>
      <c r="M262" s="38" t="str">
        <f t="shared" si="9"/>
        <v/>
      </c>
      <c r="N262" s="26" t="s">
        <v>60</v>
      </c>
      <c r="O262" s="48" t="str">
        <f t="shared" si="16"/>
        <v>Tư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42">
        <v>93436.0</v>
      </c>
      <c r="B263" s="42" t="s">
        <v>34</v>
      </c>
      <c r="C263" s="42" t="s">
        <v>23</v>
      </c>
      <c r="D263" s="43">
        <v>46241.0</v>
      </c>
      <c r="E263" s="42" t="s">
        <v>247</v>
      </c>
      <c r="F263" s="44">
        <f>IFERROR(__xludf.DUMMYFUNCTION("MIN(ARRAYFORMULA(TIMEVALUE(SPLIT(E263,"" ""))))"),0.5326388888888889)</f>
        <v>0.5326388889</v>
      </c>
      <c r="G263" s="44">
        <f>IFERROR(__xludf.DUMMYFUNCTION("MAX(ARRAYFORMULA(TIMEVALUE(SPLIT(E263,"" ""))))"),0.8048611111111111)</f>
        <v>0.8048611111</v>
      </c>
      <c r="H263" s="45"/>
      <c r="I263" s="45"/>
      <c r="J263" s="55">
        <v>2.0</v>
      </c>
      <c r="K263" s="27"/>
      <c r="L263" s="38"/>
      <c r="M263" s="38" t="str">
        <f t="shared" si="9"/>
        <v/>
      </c>
      <c r="N263" s="26" t="s">
        <v>60</v>
      </c>
      <c r="O263" s="48" t="str">
        <f t="shared" si="16"/>
        <v>Sáu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6">
        <v>9.32103436E8</v>
      </c>
      <c r="B264" s="26" t="s">
        <v>34</v>
      </c>
      <c r="C264" s="26" t="s">
        <v>23</v>
      </c>
      <c r="D264" s="28">
        <v>46242.0</v>
      </c>
      <c r="E264" s="26" t="s">
        <v>248</v>
      </c>
      <c r="F264" s="30">
        <f>IFERROR(__xludf.DUMMYFUNCTION("MIN(ARRAYFORMULA(TIMEVALUE(SPLIT(E264,"" ""))))"),0.4798611111111111)</f>
        <v>0.4798611111</v>
      </c>
      <c r="G264" s="30">
        <f>IFERROR(__xludf.DUMMYFUNCTION("MAX(ARRAYFORMULA(TIMEVALUE(SPLIT(E264,"" ""))))"),0.8090277777777778)</f>
        <v>0.8090277778</v>
      </c>
      <c r="H264" s="31"/>
      <c r="I264" s="31"/>
      <c r="J264" s="39">
        <f>IF(WEEKDAY(D264,2)=7,IF(AND(F264&lt;TIME(8,15,0),G264&gt;=TIME(11,55,0)),1,0)+IF(AND(F264&lt;TIME(13,45,0),G264&gt;=TIME(17,55,0)),1,0),IF(AND(F264&lt;TIME(8,15,0),G264&gt;=TIME(11,55,0)),1,0)+IF(AND(F264&lt;TIME(13,45,0),G264&gt;=TIME(17,25,0)),1,0)+IF(AND(F264&lt;TIME(15,45,0),G264&gt;=TIME(19,25,0)),1,0))</f>
        <v>2</v>
      </c>
      <c r="K264" s="40"/>
      <c r="L264" s="31"/>
      <c r="M264" s="31" t="str">
        <f t="shared" si="9"/>
        <v/>
      </c>
      <c r="N264" s="26" t="s">
        <v>28</v>
      </c>
      <c r="O264" s="41"/>
      <c r="P264" s="41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42">
        <v>93436.0</v>
      </c>
      <c r="B265" s="42" t="s">
        <v>34</v>
      </c>
      <c r="C265" s="42" t="s">
        <v>23</v>
      </c>
      <c r="D265" s="43">
        <v>46243.0</v>
      </c>
      <c r="E265" s="42" t="s">
        <v>249</v>
      </c>
      <c r="F265" s="44">
        <f>IFERROR(__xludf.DUMMYFUNCTION("MIN(ARRAYFORMULA(TIMEVALUE(SPLIT(E265,"" ""))))"),0.3194444444444444)</f>
        <v>0.3194444444</v>
      </c>
      <c r="G265" s="44">
        <f>IFERROR(__xludf.DUMMYFUNCTION("MAX(ARRAYFORMULA(TIMEVALUE(SPLIT(E265,"" ""))))"),0.49236111111111114)</f>
        <v>0.4923611111</v>
      </c>
      <c r="H265" s="45"/>
      <c r="I265" s="45"/>
      <c r="J265" s="55">
        <v>1.0</v>
      </c>
      <c r="K265" s="27"/>
      <c r="L265" s="38"/>
      <c r="M265" s="38" t="str">
        <f t="shared" si="9"/>
        <v/>
      </c>
      <c r="N265" s="26" t="s">
        <v>60</v>
      </c>
      <c r="O265" s="48" t="str">
        <f t="shared" ref="O265:O268" si="17">CHOOSE(WEEKDAY(D265,2),"Hai","Ba","Tư","Năm","Sáu","Bảy","CN")</f>
        <v>CN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42">
        <v>93436.0</v>
      </c>
      <c r="B266" s="42" t="s">
        <v>34</v>
      </c>
      <c r="C266" s="42" t="s">
        <v>23</v>
      </c>
      <c r="D266" s="43">
        <v>46244.0</v>
      </c>
      <c r="E266" s="42" t="s">
        <v>250</v>
      </c>
      <c r="F266" s="44">
        <f>IFERROR(__xludf.DUMMYFUNCTION("MIN(ARRAYFORMULA(TIMEVALUE(SPLIT(E266,"" ""))))"),0.5354166666666667)</f>
        <v>0.5354166667</v>
      </c>
      <c r="G266" s="44">
        <f>IFERROR(__xludf.DUMMYFUNCTION("MAX(ARRAYFORMULA(TIMEVALUE(SPLIT(E266,"" ""))))"),0.8034722222222223)</f>
        <v>0.8034722222</v>
      </c>
      <c r="H266" s="45"/>
      <c r="I266" s="45"/>
      <c r="J266" s="55">
        <v>2.0</v>
      </c>
      <c r="K266" s="27"/>
      <c r="L266" s="38"/>
      <c r="M266" s="38" t="str">
        <f t="shared" si="9"/>
        <v/>
      </c>
      <c r="N266" s="26" t="s">
        <v>60</v>
      </c>
      <c r="O266" s="48" t="str">
        <f t="shared" si="17"/>
        <v>Hai</v>
      </c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42">
        <v>93436.0</v>
      </c>
      <c r="B267" s="42" t="s">
        <v>34</v>
      </c>
      <c r="C267" s="42" t="s">
        <v>23</v>
      </c>
      <c r="D267" s="43">
        <v>46251.0</v>
      </c>
      <c r="E267" s="42" t="s">
        <v>251</v>
      </c>
      <c r="F267" s="44">
        <f>IFERROR(__xludf.DUMMYFUNCTION("MIN(ARRAYFORMULA(TIMEVALUE(SPLIT(E267,"" ""))))"),0.5284722222222222)</f>
        <v>0.5284722222</v>
      </c>
      <c r="G267" s="44">
        <f>IFERROR(__xludf.DUMMYFUNCTION("MAX(ARRAYFORMULA(TIMEVALUE(SPLIT(E267,"" ""))))"),0.8104166666666667)</f>
        <v>0.8104166667</v>
      </c>
      <c r="H267" s="45"/>
      <c r="I267" s="45"/>
      <c r="J267" s="46">
        <f>IF(WEEKDAY(D267,2)=7,IF(AND(F267&lt;TIME(8,15,0),G267&gt;=TIME(11,55,0)),1,0)+IF(AND(F267&lt;TIME(13,45,0),G267&gt;=TIME(17,55,0)),1,0),IF(AND(F267&lt;TIME(8,15,0),G267&gt;=TIME(11,55,0)),1,0)+IF(AND(F267&lt;TIME(13,45,0),G267&gt;=TIME(17,25,0)),1,0)+IF(AND(F267&lt;TIME(15,45,0),G267&gt;=TIME(19,25,0)),1,0))</f>
        <v>2</v>
      </c>
      <c r="K267" s="27"/>
      <c r="L267" s="38"/>
      <c r="M267" s="38" t="str">
        <f t="shared" si="9"/>
        <v/>
      </c>
      <c r="N267" s="26" t="s">
        <v>60</v>
      </c>
      <c r="O267" s="48" t="str">
        <f t="shared" si="17"/>
        <v>Hai</v>
      </c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42">
        <v>93436.0</v>
      </c>
      <c r="B268" s="42" t="s">
        <v>34</v>
      </c>
      <c r="C268" s="42" t="s">
        <v>23</v>
      </c>
      <c r="D268" s="43">
        <v>46253.0</v>
      </c>
      <c r="E268" s="42" t="s">
        <v>252</v>
      </c>
      <c r="F268" s="44">
        <f>IFERROR(__xludf.DUMMYFUNCTION("MIN(ARRAYFORMULA(TIMEVALUE(SPLIT(E268,"" ""))))"),0.5041666666666667)</f>
        <v>0.5041666667</v>
      </c>
      <c r="G268" s="44">
        <f>IFERROR(__xludf.DUMMYFUNCTION("MAX(ARRAYFORMULA(TIMEVALUE(SPLIT(E268,"" ""))))"),0.8069444444444445)</f>
        <v>0.8069444444</v>
      </c>
      <c r="H268" s="45"/>
      <c r="I268" s="45"/>
      <c r="J268" s="55">
        <v>2.0</v>
      </c>
      <c r="K268" s="27"/>
      <c r="L268" s="38"/>
      <c r="M268" s="38" t="str">
        <f t="shared" si="9"/>
        <v/>
      </c>
      <c r="N268" s="26" t="s">
        <v>60</v>
      </c>
      <c r="O268" s="48" t="str">
        <f t="shared" si="17"/>
        <v>Tư</v>
      </c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6">
        <v>9.32103436E8</v>
      </c>
      <c r="B269" s="26" t="s">
        <v>34</v>
      </c>
      <c r="C269" s="26" t="s">
        <v>23</v>
      </c>
      <c r="D269" s="28">
        <v>46254.0</v>
      </c>
      <c r="E269" s="26" t="s">
        <v>253</v>
      </c>
      <c r="F269" s="30">
        <f>IFERROR(__xludf.DUMMYFUNCTION("MIN(ARRAYFORMULA(TIMEVALUE(SPLIT(E269,"" ""))))"),0.5361111111111111)</f>
        <v>0.5361111111</v>
      </c>
      <c r="G269" s="30">
        <f>IFERROR(__xludf.DUMMYFUNCTION("MAX(ARRAYFORMULA(TIMEVALUE(SPLIT(E269,"" ""))))"),0.8125)</f>
        <v>0.8125</v>
      </c>
      <c r="H269" s="31"/>
      <c r="I269" s="31"/>
      <c r="J269" s="39">
        <f>IF(WEEKDAY(D269,2)=7,IF(AND(F269&lt;TIME(8,15,0),G269&gt;=TIME(11,55,0)),1,0)+IF(AND(F269&lt;TIME(13,45,0),G269&gt;=TIME(17,55,0)),1,0),IF(AND(F269&lt;TIME(8,15,0),G269&gt;=TIME(11,55,0)),1,0)+IF(AND(F269&lt;TIME(13,45,0),G269&gt;=TIME(17,25,0)),1,0)+IF(AND(F269&lt;TIME(15,45,0),G269&gt;=TIME(19,25,0)),1,0))</f>
        <v>2</v>
      </c>
      <c r="K269" s="40"/>
      <c r="L269" s="31"/>
      <c r="M269" s="31" t="str">
        <f t="shared" si="9"/>
        <v/>
      </c>
      <c r="N269" s="26" t="s">
        <v>28</v>
      </c>
      <c r="O269" s="41"/>
      <c r="P269" s="41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42">
        <v>93436.0</v>
      </c>
      <c r="B270" s="42" t="s">
        <v>34</v>
      </c>
      <c r="C270" s="42" t="s">
        <v>23</v>
      </c>
      <c r="D270" s="43">
        <v>46255.0</v>
      </c>
      <c r="E270" s="42" t="s">
        <v>254</v>
      </c>
      <c r="F270" s="44">
        <f>IFERROR(__xludf.DUMMYFUNCTION("MIN(ARRAYFORMULA(TIMEVALUE(SPLIT(E270,"" ""))))"),0.5347222222222222)</f>
        <v>0.5347222222</v>
      </c>
      <c r="G270" s="44">
        <f>IFERROR(__xludf.DUMMYFUNCTION("MAX(ARRAYFORMULA(TIMEVALUE(SPLIT(E270,"" ""))))"),0.8083333333333333)</f>
        <v>0.8083333333</v>
      </c>
      <c r="H270" s="45"/>
      <c r="I270" s="45"/>
      <c r="J270" s="55">
        <v>2.0</v>
      </c>
      <c r="K270" s="27"/>
      <c r="L270" s="38"/>
      <c r="M270" s="38" t="str">
        <f t="shared" si="9"/>
        <v/>
      </c>
      <c r="N270" s="26" t="s">
        <v>60</v>
      </c>
      <c r="O270" s="48" t="str">
        <f>CHOOSE(WEEKDAY(D270,2),"Hai","Ba","Tư","Năm","Sáu","Bảy","CN")</f>
        <v>Sáu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6">
        <v>9.32103436E8</v>
      </c>
      <c r="B271" s="26" t="s">
        <v>34</v>
      </c>
      <c r="C271" s="26" t="s">
        <v>23</v>
      </c>
      <c r="D271" s="28">
        <v>46256.0</v>
      </c>
      <c r="E271" s="26" t="s">
        <v>255</v>
      </c>
      <c r="F271" s="30">
        <f>IFERROR(__xludf.DUMMYFUNCTION("MIN(ARRAYFORMULA(TIMEVALUE(SPLIT(E271,"" ""))))"),0.4888888888888889)</f>
        <v>0.4888888889</v>
      </c>
      <c r="G271" s="30">
        <f>IFERROR(__xludf.DUMMYFUNCTION("MAX(ARRAYFORMULA(TIMEVALUE(SPLIT(E271,"" ""))))"),0.8125)</f>
        <v>0.8125</v>
      </c>
      <c r="H271" s="31"/>
      <c r="I271" s="31"/>
      <c r="J271" s="39">
        <f>IF(WEEKDAY(D271,2)=7,IF(AND(F271&lt;TIME(8,15,0),G271&gt;=TIME(11,55,0)),1,0)+IF(AND(F271&lt;TIME(13,45,0),G271&gt;=TIME(17,55,0)),1,0),IF(AND(F271&lt;TIME(8,15,0),G271&gt;=TIME(11,55,0)),1,0)+IF(AND(F271&lt;TIME(13,45,0),G271&gt;=TIME(17,25,0)),1,0)+IF(AND(F271&lt;TIME(15,45,0),G271&gt;=TIME(19,25,0)),1,0))</f>
        <v>2</v>
      </c>
      <c r="K271" s="40"/>
      <c r="L271" s="31"/>
      <c r="M271" s="31" t="str">
        <f t="shared" si="9"/>
        <v/>
      </c>
      <c r="N271" s="26" t="s">
        <v>28</v>
      </c>
      <c r="O271" s="41"/>
      <c r="P271" s="41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42">
        <v>93436.0</v>
      </c>
      <c r="B272" s="42" t="s">
        <v>34</v>
      </c>
      <c r="C272" s="42" t="s">
        <v>23</v>
      </c>
      <c r="D272" s="43">
        <v>46258.0</v>
      </c>
      <c r="E272" s="42" t="s">
        <v>256</v>
      </c>
      <c r="F272" s="44">
        <f>IFERROR(__xludf.DUMMYFUNCTION("MIN(ARRAYFORMULA(TIMEVALUE(SPLIT(E272,"" ""))))"),0.5354166666666667)</f>
        <v>0.5354166667</v>
      </c>
      <c r="G272" s="44">
        <f>IFERROR(__xludf.DUMMYFUNCTION("MAX(ARRAYFORMULA(TIMEVALUE(SPLIT(E272,"" ""))))"),0.8083333333333333)</f>
        <v>0.8083333333</v>
      </c>
      <c r="H272" s="45"/>
      <c r="I272" s="45"/>
      <c r="J272" s="55">
        <v>2.0</v>
      </c>
      <c r="K272" s="27"/>
      <c r="L272" s="38"/>
      <c r="M272" s="38" t="str">
        <f t="shared" si="9"/>
        <v/>
      </c>
      <c r="N272" s="26" t="s">
        <v>60</v>
      </c>
      <c r="O272" s="48" t="str">
        <f t="shared" ref="O272:O299" si="18">CHOOSE(WEEKDAY(D272,2),"Hai","Ba","Tư","Năm","Sáu","Bảy","CN")</f>
        <v>Hai</v>
      </c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42">
        <v>93436.0</v>
      </c>
      <c r="B273" s="42" t="s">
        <v>34</v>
      </c>
      <c r="C273" s="42" t="s">
        <v>23</v>
      </c>
      <c r="D273" s="43">
        <v>46260.0</v>
      </c>
      <c r="E273" s="42" t="s">
        <v>257</v>
      </c>
      <c r="F273" s="44">
        <f>IFERROR(__xludf.DUMMYFUNCTION("MIN(ARRAYFORMULA(TIMEVALUE(SPLIT(E273,"" ""))))"),0.5013888888888889)</f>
        <v>0.5013888889</v>
      </c>
      <c r="G273" s="44">
        <f>IFERROR(__xludf.DUMMYFUNCTION("MAX(ARRAYFORMULA(TIMEVALUE(SPLIT(E273,"" ""))))"),0.8076388888888889)</f>
        <v>0.8076388889</v>
      </c>
      <c r="H273" s="45"/>
      <c r="I273" s="45"/>
      <c r="J273" s="55">
        <v>2.0</v>
      </c>
      <c r="K273" s="27"/>
      <c r="L273" s="38"/>
      <c r="M273" s="38" t="str">
        <f t="shared" si="9"/>
        <v/>
      </c>
      <c r="N273" s="26" t="s">
        <v>60</v>
      </c>
      <c r="O273" s="48" t="str">
        <f t="shared" si="18"/>
        <v>Tư</v>
      </c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6">
        <v>9.32103436E8</v>
      </c>
      <c r="B274" s="26" t="s">
        <v>34</v>
      </c>
      <c r="C274" s="26" t="s">
        <v>23</v>
      </c>
      <c r="D274" s="28">
        <v>46261.0</v>
      </c>
      <c r="E274" s="26" t="s">
        <v>258</v>
      </c>
      <c r="F274" s="30">
        <f>IFERROR(__xludf.DUMMYFUNCTION("MIN(ARRAYFORMULA(TIMEVALUE(SPLIT(E274,"" ""))))"),0.5388888888888889)</f>
        <v>0.5388888889</v>
      </c>
      <c r="G274" s="30">
        <f>IFERROR(__xludf.DUMMYFUNCTION("MAX(ARRAYFORMULA(TIMEVALUE(SPLIT(E274,"" ""))))"),0.8118055555555556)</f>
        <v>0.8118055556</v>
      </c>
      <c r="H274" s="31"/>
      <c r="I274" s="31"/>
      <c r="J274" s="39">
        <f t="shared" ref="J274:J299" si="19">IF(WEEKDAY(D274,2)=7,IF(AND(F274&lt;TIME(8,15,0),G274&gt;=TIME(11,55,0)),1,0)+IF(AND(F274&lt;TIME(13,45,0),G274&gt;=TIME(17,55,0)),1,0),IF(AND(F274&lt;TIME(8,15,0),G274&gt;=TIME(11,55,0)),1,0)+IF(AND(F274&lt;TIME(13,45,0),G274&gt;=TIME(17,25,0)),1,0)+IF(AND(F274&lt;TIME(15,45,0),G274&gt;=TIME(19,25,0)),1,0))</f>
        <v>2</v>
      </c>
      <c r="K274" s="40"/>
      <c r="L274" s="31"/>
      <c r="M274" s="31" t="str">
        <f t="shared" si="9"/>
        <v/>
      </c>
      <c r="N274" s="26" t="s">
        <v>60</v>
      </c>
      <c r="O274" s="48" t="str">
        <f t="shared" si="18"/>
        <v>Năm</v>
      </c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42">
        <v>93645.0</v>
      </c>
      <c r="B275" s="42" t="s">
        <v>61</v>
      </c>
      <c r="C275" s="42" t="s">
        <v>23</v>
      </c>
      <c r="D275" s="43">
        <v>46235.0</v>
      </c>
      <c r="E275" s="42" t="s">
        <v>139</v>
      </c>
      <c r="F275" s="44">
        <f>IFERROR(__xludf.DUMMYFUNCTION("MIN(ARRAYFORMULA(TIMEVALUE(SPLIT(E275,"" ""))))"),0.3284722222222222)</f>
        <v>0.3284722222</v>
      </c>
      <c r="G275" s="44">
        <f>IFERROR(__xludf.DUMMYFUNCTION("MAX(ARRAYFORMULA(TIMEVALUE(SPLIT(E275,"" ""))))"),0.8125)</f>
        <v>0.8125</v>
      </c>
      <c r="H275" s="45"/>
      <c r="I275" s="45"/>
      <c r="J275" s="46">
        <f t="shared" si="19"/>
        <v>3</v>
      </c>
      <c r="K275" s="27"/>
      <c r="L275" s="38"/>
      <c r="M275" s="38" t="str">
        <f t="shared" si="9"/>
        <v/>
      </c>
      <c r="N275" s="47"/>
      <c r="O275" s="48" t="str">
        <f t="shared" si="18"/>
        <v>Bảy</v>
      </c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42">
        <v>93645.0</v>
      </c>
      <c r="B276" s="42" t="s">
        <v>61</v>
      </c>
      <c r="C276" s="42" t="s">
        <v>23</v>
      </c>
      <c r="D276" s="43">
        <v>46237.0</v>
      </c>
      <c r="E276" s="42" t="s">
        <v>259</v>
      </c>
      <c r="F276" s="44">
        <f>IFERROR(__xludf.DUMMYFUNCTION("MIN(ARRAYFORMULA(TIMEVALUE(SPLIT(E276,"" ""))))"),0.32708333333333334)</f>
        <v>0.3270833333</v>
      </c>
      <c r="G276" s="44">
        <f>IFERROR(__xludf.DUMMYFUNCTION("MAX(ARRAYFORMULA(TIMEVALUE(SPLIT(E276,"" ""))))"),0.7284722222222222)</f>
        <v>0.7284722222</v>
      </c>
      <c r="H276" s="45"/>
      <c r="I276" s="45"/>
      <c r="J276" s="46">
        <f t="shared" si="19"/>
        <v>2</v>
      </c>
      <c r="K276" s="27"/>
      <c r="L276" s="38"/>
      <c r="M276" s="38" t="str">
        <f t="shared" si="9"/>
        <v/>
      </c>
      <c r="N276" s="47"/>
      <c r="O276" s="48" t="str">
        <f t="shared" si="18"/>
        <v>Hai</v>
      </c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42">
        <v>93645.0</v>
      </c>
      <c r="B277" s="42" t="s">
        <v>61</v>
      </c>
      <c r="C277" s="42" t="s">
        <v>23</v>
      </c>
      <c r="D277" s="43">
        <v>46238.0</v>
      </c>
      <c r="E277" s="42" t="s">
        <v>187</v>
      </c>
      <c r="F277" s="44">
        <f>IFERROR(__xludf.DUMMYFUNCTION("MIN(ARRAYFORMULA(TIMEVALUE(SPLIT(E277,"" ""))))"),0.32708333333333334)</f>
        <v>0.3270833333</v>
      </c>
      <c r="G277" s="44">
        <f>IFERROR(__xludf.DUMMYFUNCTION("MAX(ARRAYFORMULA(TIMEVALUE(SPLIT(E277,"" ""))))"),0.8138888888888889)</f>
        <v>0.8138888889</v>
      </c>
      <c r="H277" s="45"/>
      <c r="I277" s="45"/>
      <c r="J277" s="46">
        <f t="shared" si="19"/>
        <v>3</v>
      </c>
      <c r="K277" s="27"/>
      <c r="L277" s="38"/>
      <c r="M277" s="38" t="str">
        <f t="shared" si="9"/>
        <v/>
      </c>
      <c r="N277" s="47"/>
      <c r="O277" s="48" t="str">
        <f t="shared" si="18"/>
        <v>Ba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42">
        <v>93645.0</v>
      </c>
      <c r="B278" s="42" t="s">
        <v>61</v>
      </c>
      <c r="C278" s="42" t="s">
        <v>23</v>
      </c>
      <c r="D278" s="43">
        <v>46239.0</v>
      </c>
      <c r="E278" s="42" t="s">
        <v>260</v>
      </c>
      <c r="F278" s="44">
        <f>IFERROR(__xludf.DUMMYFUNCTION("MIN(ARRAYFORMULA(TIMEVALUE(SPLIT(E278,"" ""))))"),0.5527777777777778)</f>
        <v>0.5527777778</v>
      </c>
      <c r="G278" s="44">
        <f>IFERROR(__xludf.DUMMYFUNCTION("MAX(ARRAYFORMULA(TIMEVALUE(SPLIT(E278,"" ""))))"),0.8131944444444444)</f>
        <v>0.8131944444</v>
      </c>
      <c r="H278" s="45"/>
      <c r="I278" s="45"/>
      <c r="J278" s="46">
        <f t="shared" si="19"/>
        <v>2</v>
      </c>
      <c r="K278" s="27"/>
      <c r="L278" s="38"/>
      <c r="M278" s="38" t="str">
        <f t="shared" si="9"/>
        <v/>
      </c>
      <c r="N278" s="47"/>
      <c r="O278" s="48" t="str">
        <f t="shared" si="18"/>
        <v>Tư</v>
      </c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42">
        <v>93645.0</v>
      </c>
      <c r="B279" s="42" t="s">
        <v>61</v>
      </c>
      <c r="C279" s="42" t="s">
        <v>23</v>
      </c>
      <c r="D279" s="43">
        <v>46240.0</v>
      </c>
      <c r="E279" s="42" t="s">
        <v>261</v>
      </c>
      <c r="F279" s="44">
        <f>IFERROR(__xludf.DUMMYFUNCTION("MIN(ARRAYFORMULA(TIMEVALUE(SPLIT(E279,"" ""))))"),0.3277777777777778)</f>
        <v>0.3277777778</v>
      </c>
      <c r="G279" s="44">
        <f>IFERROR(__xludf.DUMMYFUNCTION("MAX(ARRAYFORMULA(TIMEVALUE(SPLIT(E279,"" ""))))"),0.7277777777777777)</f>
        <v>0.7277777778</v>
      </c>
      <c r="H279" s="45"/>
      <c r="I279" s="45"/>
      <c r="J279" s="46">
        <f t="shared" si="19"/>
        <v>2</v>
      </c>
      <c r="K279" s="27"/>
      <c r="L279" s="38"/>
      <c r="M279" s="38" t="str">
        <f t="shared" si="9"/>
        <v/>
      </c>
      <c r="N279" s="47"/>
      <c r="O279" s="48" t="str">
        <f t="shared" si="18"/>
        <v>Năm</v>
      </c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42">
        <v>93645.0</v>
      </c>
      <c r="B280" s="42" t="s">
        <v>61</v>
      </c>
      <c r="C280" s="42" t="s">
        <v>23</v>
      </c>
      <c r="D280" s="43">
        <v>46241.0</v>
      </c>
      <c r="E280" s="42" t="s">
        <v>70</v>
      </c>
      <c r="F280" s="44">
        <f>IFERROR(__xludf.DUMMYFUNCTION("MIN(ARRAYFORMULA(TIMEVALUE(SPLIT(E280,"" ""))))"),0.33194444444444443)</f>
        <v>0.3319444444</v>
      </c>
      <c r="G280" s="44">
        <f>IFERROR(__xludf.DUMMYFUNCTION("MAX(ARRAYFORMULA(TIMEVALUE(SPLIT(E280,"" ""))))"),0.8125)</f>
        <v>0.8125</v>
      </c>
      <c r="H280" s="45"/>
      <c r="I280" s="45"/>
      <c r="J280" s="46">
        <f t="shared" si="19"/>
        <v>3</v>
      </c>
      <c r="K280" s="27"/>
      <c r="L280" s="38"/>
      <c r="M280" s="38" t="str">
        <f t="shared" si="9"/>
        <v/>
      </c>
      <c r="N280" s="47"/>
      <c r="O280" s="48" t="str">
        <f t="shared" si="18"/>
        <v>Sáu</v>
      </c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42">
        <v>93645.0</v>
      </c>
      <c r="B281" s="42" t="s">
        <v>61</v>
      </c>
      <c r="C281" s="42" t="s">
        <v>23</v>
      </c>
      <c r="D281" s="43">
        <v>46242.0</v>
      </c>
      <c r="E281" s="42" t="s">
        <v>262</v>
      </c>
      <c r="F281" s="44">
        <f>IFERROR(__xludf.DUMMYFUNCTION("MIN(ARRAYFORMULA(TIMEVALUE(SPLIT(E281,"" ""))))"),0.55625)</f>
        <v>0.55625</v>
      </c>
      <c r="G281" s="44">
        <f>IFERROR(__xludf.DUMMYFUNCTION("MAX(ARRAYFORMULA(TIMEVALUE(SPLIT(E281,"" ""))))"),0.8125)</f>
        <v>0.8125</v>
      </c>
      <c r="H281" s="45"/>
      <c r="I281" s="45"/>
      <c r="J281" s="46">
        <f t="shared" si="19"/>
        <v>2</v>
      </c>
      <c r="K281" s="27"/>
      <c r="L281" s="38"/>
      <c r="M281" s="38" t="str">
        <f t="shared" si="9"/>
        <v/>
      </c>
      <c r="N281" s="47"/>
      <c r="O281" s="48" t="str">
        <f t="shared" si="18"/>
        <v>Bảy</v>
      </c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42">
        <v>93645.0</v>
      </c>
      <c r="B282" s="42" t="s">
        <v>61</v>
      </c>
      <c r="C282" s="42" t="s">
        <v>23</v>
      </c>
      <c r="D282" s="43">
        <v>46243.0</v>
      </c>
      <c r="E282" s="42" t="s">
        <v>117</v>
      </c>
      <c r="F282" s="44">
        <f>IFERROR(__xludf.DUMMYFUNCTION("MIN(ARRAYFORMULA(TIMEVALUE(SPLIT(E282,"" ""))))"),0.32916666666666666)</f>
        <v>0.3291666667</v>
      </c>
      <c r="G282" s="44">
        <f>IFERROR(__xludf.DUMMYFUNCTION("MAX(ARRAYFORMULA(TIMEVALUE(SPLIT(E282,"" ""))))"),0.75)</f>
        <v>0.75</v>
      </c>
      <c r="H282" s="45"/>
      <c r="I282" s="45"/>
      <c r="J282" s="46">
        <f t="shared" si="19"/>
        <v>2</v>
      </c>
      <c r="K282" s="27"/>
      <c r="L282" s="38"/>
      <c r="M282" s="38">
        <f t="shared" si="9"/>
        <v>1</v>
      </c>
      <c r="N282" s="47"/>
      <c r="O282" s="48" t="str">
        <f t="shared" si="18"/>
        <v>CN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42">
        <v>93645.0</v>
      </c>
      <c r="B283" s="42" t="s">
        <v>61</v>
      </c>
      <c r="C283" s="42" t="s">
        <v>23</v>
      </c>
      <c r="D283" s="43">
        <v>46244.0</v>
      </c>
      <c r="E283" s="42" t="s">
        <v>59</v>
      </c>
      <c r="F283" s="44">
        <f>IFERROR(__xludf.DUMMYFUNCTION("MIN(ARRAYFORMULA(TIMEVALUE(SPLIT(E283,"" ""))))"),0.33402777777777776)</f>
        <v>0.3340277778</v>
      </c>
      <c r="G283" s="44">
        <f>IFERROR(__xludf.DUMMYFUNCTION("MAX(ARRAYFORMULA(TIMEVALUE(SPLIT(E283,"" ""))))"),0.8125)</f>
        <v>0.8125</v>
      </c>
      <c r="H283" s="42">
        <v>1.0</v>
      </c>
      <c r="I283" s="45"/>
      <c r="J283" s="46">
        <f t="shared" si="19"/>
        <v>3</v>
      </c>
      <c r="K283" s="27"/>
      <c r="L283" s="38"/>
      <c r="M283" s="38" t="str">
        <f t="shared" si="9"/>
        <v/>
      </c>
      <c r="N283" s="47"/>
      <c r="O283" s="48" t="str">
        <f t="shared" si="18"/>
        <v>Hai</v>
      </c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42">
        <v>93645.0</v>
      </c>
      <c r="B284" s="42" t="s">
        <v>61</v>
      </c>
      <c r="C284" s="42" t="s">
        <v>23</v>
      </c>
      <c r="D284" s="43">
        <v>46248.0</v>
      </c>
      <c r="E284" s="42" t="s">
        <v>134</v>
      </c>
      <c r="F284" s="44">
        <f>IFERROR(__xludf.DUMMYFUNCTION("MIN(ARRAYFORMULA(TIMEVALUE(SPLIT(E284,"" ""))))"),0.33125)</f>
        <v>0.33125</v>
      </c>
      <c r="G284" s="44">
        <f>IFERROR(__xludf.DUMMYFUNCTION("MAX(ARRAYFORMULA(TIMEVALUE(SPLIT(E284,"" ""))))"),0.8125)</f>
        <v>0.8125</v>
      </c>
      <c r="H284" s="45"/>
      <c r="I284" s="45"/>
      <c r="J284" s="46">
        <f t="shared" si="19"/>
        <v>3</v>
      </c>
      <c r="K284" s="27"/>
      <c r="L284" s="38"/>
      <c r="M284" s="38" t="str">
        <f t="shared" si="9"/>
        <v/>
      </c>
      <c r="N284" s="47"/>
      <c r="O284" s="48" t="str">
        <f t="shared" si="18"/>
        <v>Sáu</v>
      </c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42">
        <v>93645.0</v>
      </c>
      <c r="B285" s="42" t="s">
        <v>61</v>
      </c>
      <c r="C285" s="42" t="s">
        <v>23</v>
      </c>
      <c r="D285" s="43">
        <v>46249.0</v>
      </c>
      <c r="E285" s="42" t="s">
        <v>236</v>
      </c>
      <c r="F285" s="44">
        <f>IFERROR(__xludf.DUMMYFUNCTION("MIN(ARRAYFORMULA(TIMEVALUE(SPLIT(E285,"" ""))))"),0.3298611111111111)</f>
        <v>0.3298611111</v>
      </c>
      <c r="G285" s="44">
        <f>IFERROR(__xludf.DUMMYFUNCTION("MAX(ARRAYFORMULA(TIMEVALUE(SPLIT(E285,"" ""))))"),0.8131944444444444)</f>
        <v>0.8131944444</v>
      </c>
      <c r="H285" s="45"/>
      <c r="I285" s="45"/>
      <c r="J285" s="46">
        <f t="shared" si="19"/>
        <v>3</v>
      </c>
      <c r="K285" s="27"/>
      <c r="L285" s="38"/>
      <c r="M285" s="38" t="str">
        <f t="shared" si="9"/>
        <v/>
      </c>
      <c r="N285" s="47"/>
      <c r="O285" s="48" t="str">
        <f t="shared" si="18"/>
        <v>Bảy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42">
        <v>93645.0</v>
      </c>
      <c r="B286" s="42" t="s">
        <v>61</v>
      </c>
      <c r="C286" s="42" t="s">
        <v>23</v>
      </c>
      <c r="D286" s="43">
        <v>46251.0</v>
      </c>
      <c r="E286" s="42" t="s">
        <v>263</v>
      </c>
      <c r="F286" s="44">
        <f>IFERROR(__xludf.DUMMYFUNCTION("MIN(ARRAYFORMULA(TIMEVALUE(SPLIT(E286,"" ""))))"),0.33055555555555555)</f>
        <v>0.3305555556</v>
      </c>
      <c r="G286" s="44">
        <f>IFERROR(__xludf.DUMMYFUNCTION("MAX(ARRAYFORMULA(TIMEVALUE(SPLIT(E286,"" ""))))"),0.7305555555555555)</f>
        <v>0.7305555556</v>
      </c>
      <c r="H286" s="45"/>
      <c r="I286" s="45"/>
      <c r="J286" s="46">
        <f t="shared" si="19"/>
        <v>2</v>
      </c>
      <c r="K286" s="27"/>
      <c r="L286" s="38"/>
      <c r="M286" s="38" t="str">
        <f t="shared" si="9"/>
        <v/>
      </c>
      <c r="N286" s="47"/>
      <c r="O286" s="48" t="str">
        <f t="shared" si="18"/>
        <v>Hai</v>
      </c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42">
        <v>93645.0</v>
      </c>
      <c r="B287" s="42" t="s">
        <v>61</v>
      </c>
      <c r="C287" s="42" t="s">
        <v>23</v>
      </c>
      <c r="D287" s="43">
        <v>46252.0</v>
      </c>
      <c r="E287" s="42" t="s">
        <v>55</v>
      </c>
      <c r="F287" s="44">
        <f>IFERROR(__xludf.DUMMYFUNCTION("MIN(ARRAYFORMULA(TIMEVALUE(SPLIT(E287,"" ""))))"),0.3277777777777778)</f>
        <v>0.3277777778</v>
      </c>
      <c r="G287" s="44">
        <f>IFERROR(__xludf.DUMMYFUNCTION("MAX(ARRAYFORMULA(TIMEVALUE(SPLIT(E287,"" ""))))"),0.8131944444444444)</f>
        <v>0.8131944444</v>
      </c>
      <c r="H287" s="45"/>
      <c r="I287" s="45"/>
      <c r="J287" s="46">
        <f t="shared" si="19"/>
        <v>3</v>
      </c>
      <c r="K287" s="27"/>
      <c r="L287" s="38"/>
      <c r="M287" s="38" t="str">
        <f t="shared" si="9"/>
        <v/>
      </c>
      <c r="N287" s="47"/>
      <c r="O287" s="48" t="str">
        <f t="shared" si="18"/>
        <v>Ba</v>
      </c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42">
        <v>93645.0</v>
      </c>
      <c r="B288" s="42" t="s">
        <v>61</v>
      </c>
      <c r="C288" s="42" t="s">
        <v>23</v>
      </c>
      <c r="D288" s="43">
        <v>46253.0</v>
      </c>
      <c r="E288" s="42" t="s">
        <v>264</v>
      </c>
      <c r="F288" s="44">
        <f>IFERROR(__xludf.DUMMYFUNCTION("MIN(ARRAYFORMULA(TIMEVALUE(SPLIT(E288,"" ""))))"),0.5555555555555556)</f>
        <v>0.5555555556</v>
      </c>
      <c r="G288" s="44">
        <f>IFERROR(__xludf.DUMMYFUNCTION("MAX(ARRAYFORMULA(TIMEVALUE(SPLIT(E288,"" ""))))"),0.8125)</f>
        <v>0.8125</v>
      </c>
      <c r="H288" s="45"/>
      <c r="I288" s="45"/>
      <c r="J288" s="46">
        <f t="shared" si="19"/>
        <v>2</v>
      </c>
      <c r="K288" s="27"/>
      <c r="L288" s="38"/>
      <c r="M288" s="38" t="str">
        <f t="shared" si="9"/>
        <v/>
      </c>
      <c r="N288" s="47"/>
      <c r="O288" s="48" t="str">
        <f t="shared" si="18"/>
        <v>Tư</v>
      </c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42">
        <v>93645.0</v>
      </c>
      <c r="B289" s="42" t="s">
        <v>61</v>
      </c>
      <c r="C289" s="42" t="s">
        <v>23</v>
      </c>
      <c r="D289" s="43">
        <v>46254.0</v>
      </c>
      <c r="E289" s="42" t="s">
        <v>237</v>
      </c>
      <c r="F289" s="44">
        <f>IFERROR(__xludf.DUMMYFUNCTION("MIN(ARRAYFORMULA(TIMEVALUE(SPLIT(E289,"" ""))))"),0.3263888888888889)</f>
        <v>0.3263888889</v>
      </c>
      <c r="G289" s="44">
        <f>IFERROR(__xludf.DUMMYFUNCTION("MAX(ARRAYFORMULA(TIMEVALUE(SPLIT(E289,"" ""))))"),0.7291666666666666)</f>
        <v>0.7291666667</v>
      </c>
      <c r="H289" s="45"/>
      <c r="I289" s="45"/>
      <c r="J289" s="46">
        <f t="shared" si="19"/>
        <v>2</v>
      </c>
      <c r="K289" s="27"/>
      <c r="L289" s="38"/>
      <c r="M289" s="38" t="str">
        <f t="shared" si="9"/>
        <v/>
      </c>
      <c r="N289" s="47"/>
      <c r="O289" s="48" t="str">
        <f t="shared" si="18"/>
        <v>Năm</v>
      </c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42">
        <v>93645.0</v>
      </c>
      <c r="B290" s="42" t="s">
        <v>61</v>
      </c>
      <c r="C290" s="42" t="s">
        <v>23</v>
      </c>
      <c r="D290" s="43">
        <v>46255.0</v>
      </c>
      <c r="E290" s="42" t="s">
        <v>70</v>
      </c>
      <c r="F290" s="44">
        <f>IFERROR(__xludf.DUMMYFUNCTION("MIN(ARRAYFORMULA(TIMEVALUE(SPLIT(E290,"" ""))))"),0.33194444444444443)</f>
        <v>0.3319444444</v>
      </c>
      <c r="G290" s="44">
        <f>IFERROR(__xludf.DUMMYFUNCTION("MAX(ARRAYFORMULA(TIMEVALUE(SPLIT(E290,"" ""))))"),0.8125)</f>
        <v>0.8125</v>
      </c>
      <c r="H290" s="45"/>
      <c r="I290" s="45"/>
      <c r="J290" s="46">
        <f t="shared" si="19"/>
        <v>3</v>
      </c>
      <c r="K290" s="27"/>
      <c r="L290" s="38"/>
      <c r="M290" s="38" t="str">
        <f t="shared" si="9"/>
        <v/>
      </c>
      <c r="N290" s="47"/>
      <c r="O290" s="48" t="str">
        <f t="shared" si="18"/>
        <v>Sáu</v>
      </c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42">
        <v>93645.0</v>
      </c>
      <c r="B291" s="42" t="s">
        <v>61</v>
      </c>
      <c r="C291" s="42" t="s">
        <v>23</v>
      </c>
      <c r="D291" s="43">
        <v>46256.0</v>
      </c>
      <c r="E291" s="42" t="s">
        <v>265</v>
      </c>
      <c r="F291" s="44">
        <f>IFERROR(__xludf.DUMMYFUNCTION("MIN(ARRAYFORMULA(TIMEVALUE(SPLIT(E291,"" ""))))"),0.5472222222222223)</f>
        <v>0.5472222222</v>
      </c>
      <c r="G291" s="44">
        <f>IFERROR(__xludf.DUMMYFUNCTION("MAX(ARRAYFORMULA(TIMEVALUE(SPLIT(E291,"" ""))))"),0.8131944444444444)</f>
        <v>0.8131944444</v>
      </c>
      <c r="H291" s="45"/>
      <c r="I291" s="45"/>
      <c r="J291" s="46">
        <f t="shared" si="19"/>
        <v>2</v>
      </c>
      <c r="K291" s="27"/>
      <c r="L291" s="38"/>
      <c r="M291" s="38" t="str">
        <f t="shared" si="9"/>
        <v/>
      </c>
      <c r="N291" s="47"/>
      <c r="O291" s="48" t="str">
        <f t="shared" si="18"/>
        <v>Bảy</v>
      </c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42">
        <v>93645.0</v>
      </c>
      <c r="B292" s="42" t="s">
        <v>61</v>
      </c>
      <c r="C292" s="42" t="s">
        <v>23</v>
      </c>
      <c r="D292" s="43">
        <v>46257.0</v>
      </c>
      <c r="E292" s="42" t="s">
        <v>266</v>
      </c>
      <c r="F292" s="44">
        <f>IFERROR(__xludf.DUMMYFUNCTION("MIN(ARRAYFORMULA(TIMEVALUE(SPLIT(E292,"" ""))))"),0.33194444444444443)</f>
        <v>0.3319444444</v>
      </c>
      <c r="G292" s="44">
        <f>IFERROR(__xludf.DUMMYFUNCTION("MAX(ARRAYFORMULA(TIMEVALUE(SPLIT(E292,"" ""))))"),0.5)</f>
        <v>0.5</v>
      </c>
      <c r="H292" s="45"/>
      <c r="I292" s="45"/>
      <c r="J292" s="46">
        <f t="shared" si="19"/>
        <v>1</v>
      </c>
      <c r="K292" s="27"/>
      <c r="L292" s="38"/>
      <c r="M292" s="38" t="str">
        <f t="shared" si="9"/>
        <v/>
      </c>
      <c r="N292" s="47"/>
      <c r="O292" s="48" t="str">
        <f t="shared" si="18"/>
        <v>CN</v>
      </c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42">
        <v>93645.0</v>
      </c>
      <c r="B293" s="42" t="s">
        <v>61</v>
      </c>
      <c r="C293" s="42" t="s">
        <v>23</v>
      </c>
      <c r="D293" s="43">
        <v>46258.0</v>
      </c>
      <c r="E293" s="42" t="s">
        <v>124</v>
      </c>
      <c r="F293" s="44">
        <f>IFERROR(__xludf.DUMMYFUNCTION("MIN(ARRAYFORMULA(TIMEVALUE(SPLIT(E293,"" ""))))"),0.32708333333333334)</f>
        <v>0.3270833333</v>
      </c>
      <c r="G293" s="44">
        <f>IFERROR(__xludf.DUMMYFUNCTION("MAX(ARRAYFORMULA(TIMEVALUE(SPLIT(E293,"" ""))))"),0.8131944444444444)</f>
        <v>0.8131944444</v>
      </c>
      <c r="H293" s="45"/>
      <c r="I293" s="45"/>
      <c r="J293" s="46">
        <f t="shared" si="19"/>
        <v>3</v>
      </c>
      <c r="K293" s="27"/>
      <c r="L293" s="38"/>
      <c r="M293" s="38" t="str">
        <f t="shared" si="9"/>
        <v/>
      </c>
      <c r="N293" s="47"/>
      <c r="O293" s="48" t="str">
        <f t="shared" si="18"/>
        <v>Hai</v>
      </c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42">
        <v>93645.0</v>
      </c>
      <c r="B294" s="42" t="s">
        <v>61</v>
      </c>
      <c r="C294" s="42" t="s">
        <v>23</v>
      </c>
      <c r="D294" s="43">
        <v>46259.0</v>
      </c>
      <c r="E294" s="42" t="s">
        <v>267</v>
      </c>
      <c r="F294" s="44">
        <f>IFERROR(__xludf.DUMMYFUNCTION("MIN(ARRAYFORMULA(TIMEVALUE(SPLIT(E294,"" ""))))"),0.32916666666666666)</f>
        <v>0.3291666667</v>
      </c>
      <c r="G294" s="44">
        <f>IFERROR(__xludf.DUMMYFUNCTION("MAX(ARRAYFORMULA(TIMEVALUE(SPLIT(E294,"" ""))))"),0.7284722222222222)</f>
        <v>0.7284722222</v>
      </c>
      <c r="H294" s="45"/>
      <c r="I294" s="45"/>
      <c r="J294" s="46">
        <f t="shared" si="19"/>
        <v>2</v>
      </c>
      <c r="K294" s="27"/>
      <c r="L294" s="38"/>
      <c r="M294" s="38" t="str">
        <f t="shared" si="9"/>
        <v/>
      </c>
      <c r="N294" s="47"/>
      <c r="O294" s="48" t="str">
        <f t="shared" si="18"/>
        <v>Ba</v>
      </c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42">
        <v>93645.0</v>
      </c>
      <c r="B295" s="42" t="s">
        <v>61</v>
      </c>
      <c r="C295" s="42" t="s">
        <v>23</v>
      </c>
      <c r="D295" s="43">
        <v>46260.0</v>
      </c>
      <c r="E295" s="42" t="s">
        <v>114</v>
      </c>
      <c r="F295" s="44">
        <f>IFERROR(__xludf.DUMMYFUNCTION("MIN(ARRAYFORMULA(TIMEVALUE(SPLIT(E295,"" ""))))"),0.32916666666666666)</f>
        <v>0.3291666667</v>
      </c>
      <c r="G295" s="44">
        <f>IFERROR(__xludf.DUMMYFUNCTION("MAX(ARRAYFORMULA(TIMEVALUE(SPLIT(E295,"" ""))))"),0.8125)</f>
        <v>0.8125</v>
      </c>
      <c r="H295" s="45"/>
      <c r="I295" s="45"/>
      <c r="J295" s="46">
        <f t="shared" si="19"/>
        <v>3</v>
      </c>
      <c r="K295" s="27"/>
      <c r="L295" s="38"/>
      <c r="M295" s="38" t="str">
        <f t="shared" si="9"/>
        <v/>
      </c>
      <c r="N295" s="47"/>
      <c r="O295" s="48" t="str">
        <f t="shared" si="18"/>
        <v>Tư</v>
      </c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42">
        <v>93645.0</v>
      </c>
      <c r="B296" s="42" t="s">
        <v>61</v>
      </c>
      <c r="C296" s="42" t="s">
        <v>23</v>
      </c>
      <c r="D296" s="43">
        <v>46261.0</v>
      </c>
      <c r="E296" s="42" t="s">
        <v>83</v>
      </c>
      <c r="F296" s="44">
        <f>IFERROR(__xludf.DUMMYFUNCTION("MIN(ARRAYFORMULA(TIMEVALUE(SPLIT(E296,"" ""))))"),0.3298611111111111)</f>
        <v>0.3298611111</v>
      </c>
      <c r="G296" s="44">
        <f>IFERROR(__xludf.DUMMYFUNCTION("MAX(ARRAYFORMULA(TIMEVALUE(SPLIT(E296,"" ""))))"),0.8125)</f>
        <v>0.8125</v>
      </c>
      <c r="H296" s="45"/>
      <c r="I296" s="45"/>
      <c r="J296" s="46">
        <f t="shared" si="19"/>
        <v>3</v>
      </c>
      <c r="K296" s="27"/>
      <c r="L296" s="38"/>
      <c r="M296" s="38" t="str">
        <f t="shared" si="9"/>
        <v/>
      </c>
      <c r="N296" s="47"/>
      <c r="O296" s="48" t="str">
        <f t="shared" si="18"/>
        <v>Năm</v>
      </c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42">
        <v>93645.0</v>
      </c>
      <c r="B297" s="42" t="s">
        <v>61</v>
      </c>
      <c r="C297" s="42" t="s">
        <v>23</v>
      </c>
      <c r="D297" s="43">
        <v>46262.0</v>
      </c>
      <c r="E297" s="42" t="s">
        <v>73</v>
      </c>
      <c r="F297" s="44">
        <f>IFERROR(__xludf.DUMMYFUNCTION("MIN(ARRAYFORMULA(TIMEVALUE(SPLIT(E297,"" ""))))"),0.3333333333333333)</f>
        <v>0.3333333333</v>
      </c>
      <c r="G297" s="44">
        <f>IFERROR(__xludf.DUMMYFUNCTION("MAX(ARRAYFORMULA(TIMEVALUE(SPLIT(E297,"" ""))))"),0.8125)</f>
        <v>0.8125</v>
      </c>
      <c r="H297" s="45"/>
      <c r="I297" s="45"/>
      <c r="J297" s="46">
        <f t="shared" si="19"/>
        <v>3</v>
      </c>
      <c r="K297" s="27"/>
      <c r="L297" s="38"/>
      <c r="M297" s="38" t="str">
        <f t="shared" si="9"/>
        <v/>
      </c>
      <c r="N297" s="47"/>
      <c r="O297" s="48" t="str">
        <f t="shared" si="18"/>
        <v>Sáu</v>
      </c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42">
        <v>93645.0</v>
      </c>
      <c r="B298" s="42" t="s">
        <v>61</v>
      </c>
      <c r="C298" s="42" t="s">
        <v>23</v>
      </c>
      <c r="D298" s="43">
        <v>46263.0</v>
      </c>
      <c r="E298" s="42" t="s">
        <v>70</v>
      </c>
      <c r="F298" s="44">
        <f>IFERROR(__xludf.DUMMYFUNCTION("MIN(ARRAYFORMULA(TIMEVALUE(SPLIT(E298,"" ""))))"),0.33194444444444443)</f>
        <v>0.3319444444</v>
      </c>
      <c r="G298" s="44">
        <f>IFERROR(__xludf.DUMMYFUNCTION("MAX(ARRAYFORMULA(TIMEVALUE(SPLIT(E298,"" ""))))"),0.8125)</f>
        <v>0.8125</v>
      </c>
      <c r="H298" s="45"/>
      <c r="I298" s="45"/>
      <c r="J298" s="46">
        <f t="shared" si="19"/>
        <v>3</v>
      </c>
      <c r="K298" s="27"/>
      <c r="L298" s="38"/>
      <c r="M298" s="38" t="str">
        <f t="shared" si="9"/>
        <v/>
      </c>
      <c r="N298" s="47"/>
      <c r="O298" s="48" t="str">
        <f t="shared" si="18"/>
        <v>Bảy</v>
      </c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42">
        <v>93645.0</v>
      </c>
      <c r="B299" s="42" t="s">
        <v>61</v>
      </c>
      <c r="C299" s="42" t="s">
        <v>23</v>
      </c>
      <c r="D299" s="43">
        <v>46265.0</v>
      </c>
      <c r="E299" s="42" t="s">
        <v>268</v>
      </c>
      <c r="F299" s="44">
        <f>IFERROR(__xludf.DUMMYFUNCTION("MIN(ARRAYFORMULA(TIMEVALUE(SPLIT(E299,"" ""))))"),0.3277777777777778)</f>
        <v>0.3277777778</v>
      </c>
      <c r="G299" s="44">
        <f>IFERROR(__xludf.DUMMYFUNCTION("MAX(ARRAYFORMULA(TIMEVALUE(SPLIT(E299,"" ""))))"),0.7305555555555555)</f>
        <v>0.7305555556</v>
      </c>
      <c r="H299" s="45"/>
      <c r="I299" s="45"/>
      <c r="J299" s="46">
        <f t="shared" si="19"/>
        <v>2</v>
      </c>
      <c r="K299" s="27"/>
      <c r="L299" s="38"/>
      <c r="M299" s="38" t="str">
        <f t="shared" si="9"/>
        <v/>
      </c>
      <c r="N299" s="47"/>
      <c r="O299" s="48" t="str">
        <f t="shared" si="18"/>
        <v>Hai</v>
      </c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42">
        <v>93645.0</v>
      </c>
      <c r="B300" s="42" t="s">
        <v>61</v>
      </c>
      <c r="C300" s="42" t="s">
        <v>23</v>
      </c>
      <c r="D300" s="43">
        <v>46246.0</v>
      </c>
      <c r="E300" s="42"/>
      <c r="F300" s="44"/>
      <c r="G300" s="44"/>
      <c r="H300" s="45"/>
      <c r="I300" s="45"/>
      <c r="J300" s="55">
        <v>1.0</v>
      </c>
      <c r="K300" s="27"/>
      <c r="L300" s="38"/>
      <c r="M300" s="38"/>
      <c r="N300" s="47"/>
      <c r="O300" s="48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42">
        <v>89938.0</v>
      </c>
      <c r="B301" s="42" t="s">
        <v>66</v>
      </c>
      <c r="C301" s="42" t="s">
        <v>67</v>
      </c>
      <c r="D301" s="43">
        <v>46235.0</v>
      </c>
      <c r="E301" s="42" t="s">
        <v>269</v>
      </c>
      <c r="F301" s="44">
        <f>IFERROR(__xludf.DUMMYFUNCTION("MIN(ARRAYFORMULA(TIMEVALUE(SPLIT(E301,"" ""))))"),0.32083333333333336)</f>
        <v>0.3208333333</v>
      </c>
      <c r="G301" s="44">
        <f>IFERROR(__xludf.DUMMYFUNCTION("MAX(ARRAYFORMULA(TIMEVALUE(SPLIT(E301,"" ""))))"),0.7333333333333333)</f>
        <v>0.7333333333</v>
      </c>
      <c r="H301" s="45"/>
      <c r="I301" s="45"/>
      <c r="J301" s="46">
        <f t="shared" ref="J301:J308" si="20">IF(WEEKDAY(D301,2)=7,IF(AND(F301&lt;TIME(8,15,0),G301&gt;=TIME(11,55,0)),1,0)+IF(AND(F301&lt;TIME(13,45,0),G301&gt;=TIME(17,55,0)),1,0),IF(AND(F301&lt;TIME(8,15,0),G301&gt;=TIME(11,55,0)),1,0)+IF(AND(F301&lt;TIME(13,45,0),G301&gt;=TIME(17,25,0)),1,0)+IF(AND(F301&lt;TIME(15,45,0),G301&gt;=TIME(19,25,0)),1,0))</f>
        <v>2</v>
      </c>
      <c r="K301" s="27"/>
      <c r="L301" s="38"/>
      <c r="M301" s="38" t="str">
        <f t="shared" ref="M301:M337" si="21">IF(WEEKDAY(D301,2)=7,IF(J301=2,1,""),"")</f>
        <v/>
      </c>
      <c r="N301" s="47" t="s">
        <v>147</v>
      </c>
      <c r="O301" s="48" t="str">
        <f t="shared" ref="O301:O323" si="22">CHOOSE(WEEKDAY(D301,2),"Hai","Ba","Tư","Năm","Sáu","Bảy","CN")</f>
        <v>Bảy</v>
      </c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42">
        <v>89938.0</v>
      </c>
      <c r="B302" s="42" t="s">
        <v>66</v>
      </c>
      <c r="C302" s="42" t="s">
        <v>67</v>
      </c>
      <c r="D302" s="43">
        <v>46237.0</v>
      </c>
      <c r="E302" s="42" t="s">
        <v>270</v>
      </c>
      <c r="F302" s="44">
        <f>IFERROR(__xludf.DUMMYFUNCTION("MIN(ARRAYFORMULA(TIMEVALUE(SPLIT(E302,"" ""))))"),0.31805555555555554)</f>
        <v>0.3180555556</v>
      </c>
      <c r="G302" s="44">
        <f>IFERROR(__xludf.DUMMYFUNCTION("MAX(ARRAYFORMULA(TIMEVALUE(SPLIT(E302,"" ""))))"),0.8131944444444444)</f>
        <v>0.8131944444</v>
      </c>
      <c r="H302" s="45"/>
      <c r="I302" s="45"/>
      <c r="J302" s="46">
        <f t="shared" si="20"/>
        <v>3</v>
      </c>
      <c r="K302" s="27"/>
      <c r="L302" s="38"/>
      <c r="M302" s="38" t="str">
        <f t="shared" si="21"/>
        <v/>
      </c>
      <c r="N302" s="47"/>
      <c r="O302" s="48" t="str">
        <f t="shared" si="22"/>
        <v>Hai</v>
      </c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42">
        <v>89938.0</v>
      </c>
      <c r="B303" s="42" t="s">
        <v>66</v>
      </c>
      <c r="C303" s="42" t="s">
        <v>67</v>
      </c>
      <c r="D303" s="43">
        <v>46238.0</v>
      </c>
      <c r="E303" s="42" t="s">
        <v>271</v>
      </c>
      <c r="F303" s="44">
        <f>IFERROR(__xludf.DUMMYFUNCTION("MIN(ARRAYFORMULA(TIMEVALUE(SPLIT(E303,"" ""))))"),0.3229166666666667)</f>
        <v>0.3229166667</v>
      </c>
      <c r="G303" s="44">
        <f>IFERROR(__xludf.DUMMYFUNCTION("MAX(ARRAYFORMULA(TIMEVALUE(SPLIT(E303,"" ""))))"),0.7305555555555555)</f>
        <v>0.7305555556</v>
      </c>
      <c r="H303" s="45"/>
      <c r="I303" s="45"/>
      <c r="J303" s="46">
        <f t="shared" si="20"/>
        <v>2</v>
      </c>
      <c r="K303" s="51">
        <v>60.0</v>
      </c>
      <c r="L303" s="38"/>
      <c r="M303" s="38" t="str">
        <f t="shared" si="21"/>
        <v/>
      </c>
      <c r="N303" s="47"/>
      <c r="O303" s="48" t="str">
        <f t="shared" si="22"/>
        <v>Ba</v>
      </c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42">
        <v>89938.0</v>
      </c>
      <c r="B304" s="42" t="s">
        <v>66</v>
      </c>
      <c r="C304" s="42" t="s">
        <v>67</v>
      </c>
      <c r="D304" s="43">
        <v>46239.0</v>
      </c>
      <c r="E304" s="42" t="s">
        <v>272</v>
      </c>
      <c r="F304" s="44">
        <f>IFERROR(__xludf.DUMMYFUNCTION("MIN(ARRAYFORMULA(TIMEVALUE(SPLIT(E304,"" ""))))"),0.31875)</f>
        <v>0.31875</v>
      </c>
      <c r="G304" s="44">
        <f>IFERROR(__xludf.DUMMYFUNCTION("MAX(ARRAYFORMULA(TIMEVALUE(SPLIT(E304,"" ""))))"),0.8138888888888889)</f>
        <v>0.8138888889</v>
      </c>
      <c r="H304" s="45"/>
      <c r="I304" s="45"/>
      <c r="J304" s="46">
        <f t="shared" si="20"/>
        <v>3</v>
      </c>
      <c r="K304" s="27"/>
      <c r="L304" s="38"/>
      <c r="M304" s="38" t="str">
        <f t="shared" si="21"/>
        <v/>
      </c>
      <c r="N304" s="47"/>
      <c r="O304" s="48" t="str">
        <f t="shared" si="22"/>
        <v>Tư</v>
      </c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42">
        <v>89938.0</v>
      </c>
      <c r="B305" s="42" t="s">
        <v>66</v>
      </c>
      <c r="C305" s="42" t="s">
        <v>67</v>
      </c>
      <c r="D305" s="43">
        <v>46240.0</v>
      </c>
      <c r="E305" s="42" t="s">
        <v>273</v>
      </c>
      <c r="F305" s="44">
        <f>IFERROR(__xludf.DUMMYFUNCTION("MIN(ARRAYFORMULA(TIMEVALUE(SPLIT(E305,"" ""))))"),0.31805555555555554)</f>
        <v>0.3180555556</v>
      </c>
      <c r="G305" s="44">
        <f>IFERROR(__xludf.DUMMYFUNCTION("MAX(ARRAYFORMULA(TIMEVALUE(SPLIT(E305,"" ""))))"),0.7277777777777777)</f>
        <v>0.7277777778</v>
      </c>
      <c r="H305" s="45"/>
      <c r="I305" s="45"/>
      <c r="J305" s="46">
        <f t="shared" si="20"/>
        <v>2</v>
      </c>
      <c r="K305" s="27"/>
      <c r="L305" s="38"/>
      <c r="M305" s="38" t="str">
        <f t="shared" si="21"/>
        <v/>
      </c>
      <c r="N305" s="47"/>
      <c r="O305" s="48" t="str">
        <f t="shared" si="22"/>
        <v>Năm</v>
      </c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42">
        <v>89938.0</v>
      </c>
      <c r="B306" s="42" t="s">
        <v>66</v>
      </c>
      <c r="C306" s="42" t="s">
        <v>67</v>
      </c>
      <c r="D306" s="43">
        <v>46241.0</v>
      </c>
      <c r="E306" s="42" t="s">
        <v>137</v>
      </c>
      <c r="F306" s="44">
        <f>IFERROR(__xludf.DUMMYFUNCTION("MIN(ARRAYFORMULA(TIMEVALUE(SPLIT(E306,"" ""))))"),0.3236111111111111)</f>
        <v>0.3236111111</v>
      </c>
      <c r="G306" s="44">
        <f>IFERROR(__xludf.DUMMYFUNCTION("MAX(ARRAYFORMULA(TIMEVALUE(SPLIT(E306,"" ""))))"),0.8125)</f>
        <v>0.8125</v>
      </c>
      <c r="H306" s="45"/>
      <c r="I306" s="45"/>
      <c r="J306" s="46">
        <f t="shared" si="20"/>
        <v>3</v>
      </c>
      <c r="K306" s="27"/>
      <c r="L306" s="38"/>
      <c r="M306" s="38" t="str">
        <f t="shared" si="21"/>
        <v/>
      </c>
      <c r="N306" s="47"/>
      <c r="O306" s="48" t="str">
        <f t="shared" si="22"/>
        <v>Sáu</v>
      </c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42">
        <v>89938.0</v>
      </c>
      <c r="B307" s="42" t="s">
        <v>66</v>
      </c>
      <c r="C307" s="42" t="s">
        <v>67</v>
      </c>
      <c r="D307" s="43">
        <v>46242.0</v>
      </c>
      <c r="E307" s="42" t="s">
        <v>274</v>
      </c>
      <c r="F307" s="44">
        <f>IFERROR(__xludf.DUMMYFUNCTION("MIN(ARRAYFORMULA(TIMEVALUE(SPLIT(E307,"" ""))))"),0.3145833333333333)</f>
        <v>0.3145833333</v>
      </c>
      <c r="G307" s="44">
        <f>IFERROR(__xludf.DUMMYFUNCTION("MAX(ARRAYFORMULA(TIMEVALUE(SPLIT(E307,"" ""))))"),0.73125)</f>
        <v>0.73125</v>
      </c>
      <c r="H307" s="45"/>
      <c r="I307" s="45"/>
      <c r="J307" s="46">
        <f t="shared" si="20"/>
        <v>2</v>
      </c>
      <c r="K307" s="27"/>
      <c r="L307" s="38"/>
      <c r="M307" s="38" t="str">
        <f t="shared" si="21"/>
        <v/>
      </c>
      <c r="N307" s="47"/>
      <c r="O307" s="48" t="str">
        <f t="shared" si="22"/>
        <v>Bảy</v>
      </c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42">
        <v>89938.0</v>
      </c>
      <c r="B308" s="42" t="s">
        <v>66</v>
      </c>
      <c r="C308" s="42" t="s">
        <v>67</v>
      </c>
      <c r="D308" s="43">
        <v>46244.0</v>
      </c>
      <c r="E308" s="42" t="s">
        <v>275</v>
      </c>
      <c r="F308" s="44">
        <f>IFERROR(__xludf.DUMMYFUNCTION("MIN(ARRAYFORMULA(TIMEVALUE(SPLIT(E308,"" ""))))"),0.3159722222222222)</f>
        <v>0.3159722222</v>
      </c>
      <c r="G308" s="44">
        <f>IFERROR(__xludf.DUMMYFUNCTION("MAX(ARRAYFORMULA(TIMEVALUE(SPLIT(E308,"" ""))))"),0.8125)</f>
        <v>0.8125</v>
      </c>
      <c r="H308" s="45"/>
      <c r="I308" s="45"/>
      <c r="J308" s="46">
        <f t="shared" si="20"/>
        <v>3</v>
      </c>
      <c r="K308" s="27"/>
      <c r="L308" s="38"/>
      <c r="M308" s="38" t="str">
        <f t="shared" si="21"/>
        <v/>
      </c>
      <c r="N308" s="47"/>
      <c r="O308" s="48" t="str">
        <f t="shared" si="22"/>
        <v>Hai</v>
      </c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42">
        <v>89938.0</v>
      </c>
      <c r="B309" s="42" t="s">
        <v>66</v>
      </c>
      <c r="C309" s="42" t="s">
        <v>67</v>
      </c>
      <c r="D309" s="43">
        <v>46248.0</v>
      </c>
      <c r="E309" s="42" t="s">
        <v>276</v>
      </c>
      <c r="F309" s="44">
        <f>IFERROR(__xludf.DUMMYFUNCTION("MIN(ARRAYFORMULA(TIMEVALUE(SPLIT(E309,"" ""))))"),0.3104166666666667)</f>
        <v>0.3104166667</v>
      </c>
      <c r="G309" s="44">
        <f>IFERROR(__xludf.DUMMYFUNCTION("MAX(ARRAYFORMULA(TIMEVALUE(SPLIT(E309,"" ""))))"),0.8034722222222223)</f>
        <v>0.8034722222</v>
      </c>
      <c r="H309" s="45"/>
      <c r="I309" s="45"/>
      <c r="J309" s="55">
        <v>3.0</v>
      </c>
      <c r="K309" s="27"/>
      <c r="L309" s="38"/>
      <c r="M309" s="38" t="str">
        <f t="shared" si="21"/>
        <v/>
      </c>
      <c r="N309" s="47" t="s">
        <v>147</v>
      </c>
      <c r="O309" s="48" t="str">
        <f t="shared" si="22"/>
        <v>Sáu</v>
      </c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42">
        <v>89938.0</v>
      </c>
      <c r="B310" s="42" t="s">
        <v>66</v>
      </c>
      <c r="C310" s="42" t="s">
        <v>67</v>
      </c>
      <c r="D310" s="43">
        <v>46249.0</v>
      </c>
      <c r="E310" s="42" t="s">
        <v>87</v>
      </c>
      <c r="F310" s="44">
        <f>IFERROR(__xludf.DUMMYFUNCTION("MIN(ARRAYFORMULA(TIMEVALUE(SPLIT(E310,"" ""))))"),0.32013888888888886)</f>
        <v>0.3201388889</v>
      </c>
      <c r="G310" s="44">
        <f>IFERROR(__xludf.DUMMYFUNCTION("MAX(ARRAYFORMULA(TIMEVALUE(SPLIT(E310,"" ""))))"),0.8125)</f>
        <v>0.8125</v>
      </c>
      <c r="H310" s="45"/>
      <c r="I310" s="45"/>
      <c r="J310" s="46">
        <f t="shared" ref="J310:J312" si="23">IF(WEEKDAY(D310,2)=7,IF(AND(F310&lt;TIME(8,15,0),G310&gt;=TIME(11,55,0)),1,0)+IF(AND(F310&lt;TIME(13,45,0),G310&gt;=TIME(17,55,0)),1,0),IF(AND(F310&lt;TIME(8,15,0),G310&gt;=TIME(11,55,0)),1,0)+IF(AND(F310&lt;TIME(13,45,0),G310&gt;=TIME(17,25,0)),1,0)+IF(AND(F310&lt;TIME(15,45,0),G310&gt;=TIME(19,25,0)),1,0))</f>
        <v>3</v>
      </c>
      <c r="K310" s="27"/>
      <c r="L310" s="38"/>
      <c r="M310" s="38" t="str">
        <f t="shared" si="21"/>
        <v/>
      </c>
      <c r="N310" s="47"/>
      <c r="O310" s="48" t="str">
        <f t="shared" si="22"/>
        <v>Bảy</v>
      </c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42">
        <v>89938.0</v>
      </c>
      <c r="B311" s="42" t="s">
        <v>66</v>
      </c>
      <c r="C311" s="42" t="s">
        <v>67</v>
      </c>
      <c r="D311" s="43">
        <v>46251.0</v>
      </c>
      <c r="E311" s="42" t="s">
        <v>277</v>
      </c>
      <c r="F311" s="44">
        <f>IFERROR(__xludf.DUMMYFUNCTION("MIN(ARRAYFORMULA(TIMEVALUE(SPLIT(E311,"" ""))))"),0.30833333333333335)</f>
        <v>0.3083333333</v>
      </c>
      <c r="G311" s="44">
        <f>IFERROR(__xludf.DUMMYFUNCTION("MAX(ARRAYFORMULA(TIMEVALUE(SPLIT(E311,"" ""))))"),0.8125)</f>
        <v>0.8125</v>
      </c>
      <c r="H311" s="45"/>
      <c r="I311" s="45"/>
      <c r="J311" s="46">
        <f t="shared" si="23"/>
        <v>3</v>
      </c>
      <c r="K311" s="27"/>
      <c r="L311" s="38"/>
      <c r="M311" s="38" t="str">
        <f t="shared" si="21"/>
        <v/>
      </c>
      <c r="N311" s="47"/>
      <c r="O311" s="48" t="str">
        <f t="shared" si="22"/>
        <v>Hai</v>
      </c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42">
        <v>89938.0</v>
      </c>
      <c r="B312" s="42" t="s">
        <v>66</v>
      </c>
      <c r="C312" s="42" t="s">
        <v>67</v>
      </c>
      <c r="D312" s="43">
        <v>46252.0</v>
      </c>
      <c r="E312" s="42" t="s">
        <v>239</v>
      </c>
      <c r="F312" s="44">
        <f>IFERROR(__xludf.DUMMYFUNCTION("MIN(ARRAYFORMULA(TIMEVALUE(SPLIT(E312,"" ""))))"),0.3236111111111111)</f>
        <v>0.3236111111</v>
      </c>
      <c r="G312" s="44">
        <f>IFERROR(__xludf.DUMMYFUNCTION("MAX(ARRAYFORMULA(TIMEVALUE(SPLIT(E312,"" ""))))"),0.7291666666666666)</f>
        <v>0.7291666667</v>
      </c>
      <c r="H312" s="45"/>
      <c r="I312" s="45"/>
      <c r="J312" s="46">
        <f t="shared" si="23"/>
        <v>2</v>
      </c>
      <c r="K312" s="27"/>
      <c r="L312" s="38"/>
      <c r="M312" s="38" t="str">
        <f t="shared" si="21"/>
        <v/>
      </c>
      <c r="N312" s="47"/>
      <c r="O312" s="48" t="str">
        <f t="shared" si="22"/>
        <v>Ba</v>
      </c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42">
        <v>89938.0</v>
      </c>
      <c r="B313" s="42" t="s">
        <v>66</v>
      </c>
      <c r="C313" s="42" t="s">
        <v>67</v>
      </c>
      <c r="D313" s="43">
        <v>46253.0</v>
      </c>
      <c r="E313" s="42" t="s">
        <v>278</v>
      </c>
      <c r="F313" s="44">
        <f>IFERROR(__xludf.DUMMYFUNCTION("MIN(ARRAYFORMULA(TIMEVALUE(SPLIT(E313,"" ""))))"),0.3159722222222222)</f>
        <v>0.3159722222</v>
      </c>
      <c r="G313" s="44">
        <f>IFERROR(__xludf.DUMMYFUNCTION("MAX(ARRAYFORMULA(TIMEVALUE(SPLIT(E313,"" ""))))"),0.7819444444444444)</f>
        <v>0.7819444444</v>
      </c>
      <c r="H313" s="45"/>
      <c r="I313" s="45"/>
      <c r="J313" s="55">
        <v>3.0</v>
      </c>
      <c r="K313" s="27"/>
      <c r="L313" s="38"/>
      <c r="M313" s="38" t="str">
        <f t="shared" si="21"/>
        <v/>
      </c>
      <c r="N313" s="47" t="s">
        <v>128</v>
      </c>
      <c r="O313" s="48" t="str">
        <f t="shared" si="22"/>
        <v>Tư</v>
      </c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42">
        <v>89938.0</v>
      </c>
      <c r="B314" s="42" t="s">
        <v>66</v>
      </c>
      <c r="C314" s="42" t="s">
        <v>67</v>
      </c>
      <c r="D314" s="43">
        <v>46255.0</v>
      </c>
      <c r="E314" s="42" t="s">
        <v>279</v>
      </c>
      <c r="F314" s="44">
        <f>IFERROR(__xludf.DUMMYFUNCTION("MIN(ARRAYFORMULA(TIMEVALUE(SPLIT(E314,"" ""))))"),0.5638888888888889)</f>
        <v>0.5638888889</v>
      </c>
      <c r="G314" s="44">
        <f>IFERROR(__xludf.DUMMYFUNCTION("MAX(ARRAYFORMULA(TIMEVALUE(SPLIT(E314,"" ""))))"),0.8125)</f>
        <v>0.8125</v>
      </c>
      <c r="H314" s="42">
        <v>2.0</v>
      </c>
      <c r="I314" s="45"/>
      <c r="J314" s="46">
        <f t="shared" ref="J314:J324" si="24">IF(WEEKDAY(D314,2)=7,IF(AND(F314&lt;TIME(8,15,0),G314&gt;=TIME(11,55,0)),1,0)+IF(AND(F314&lt;TIME(13,45,0),G314&gt;=TIME(17,55,0)),1,0),IF(AND(F314&lt;TIME(8,15,0),G314&gt;=TIME(11,55,0)),1,0)+IF(AND(F314&lt;TIME(13,45,0),G314&gt;=TIME(17,25,0)),1,0)+IF(AND(F314&lt;TIME(15,45,0),G314&gt;=TIME(19,25,0)),1,0))</f>
        <v>2</v>
      </c>
      <c r="K314" s="27"/>
      <c r="L314" s="38"/>
      <c r="M314" s="38" t="str">
        <f t="shared" si="21"/>
        <v/>
      </c>
      <c r="N314" s="47"/>
      <c r="O314" s="48" t="str">
        <f t="shared" si="22"/>
        <v>Sáu</v>
      </c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42">
        <v>89938.0</v>
      </c>
      <c r="B315" s="42" t="s">
        <v>66</v>
      </c>
      <c r="C315" s="42" t="s">
        <v>67</v>
      </c>
      <c r="D315" s="43">
        <v>46256.0</v>
      </c>
      <c r="E315" s="42" t="s">
        <v>280</v>
      </c>
      <c r="F315" s="44">
        <f>IFERROR(__xludf.DUMMYFUNCTION("MIN(ARRAYFORMULA(TIMEVALUE(SPLIT(E315,"" ""))))"),0.32916666666666666)</f>
        <v>0.3291666667</v>
      </c>
      <c r="G315" s="44">
        <f>IFERROR(__xludf.DUMMYFUNCTION("MAX(ARRAYFORMULA(TIMEVALUE(SPLIT(E315,"" ""))))"),0.8125)</f>
        <v>0.8125</v>
      </c>
      <c r="H315" s="45"/>
      <c r="I315" s="45"/>
      <c r="J315" s="46">
        <f t="shared" si="24"/>
        <v>3</v>
      </c>
      <c r="K315" s="27"/>
      <c r="L315" s="38"/>
      <c r="M315" s="38" t="str">
        <f t="shared" si="21"/>
        <v/>
      </c>
      <c r="N315" s="47"/>
      <c r="O315" s="48" t="str">
        <f t="shared" si="22"/>
        <v>Bảy</v>
      </c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42">
        <v>89938.0</v>
      </c>
      <c r="B316" s="42" t="s">
        <v>66</v>
      </c>
      <c r="C316" s="42" t="s">
        <v>67</v>
      </c>
      <c r="D316" s="43">
        <v>46258.0</v>
      </c>
      <c r="E316" s="42" t="s">
        <v>281</v>
      </c>
      <c r="F316" s="44">
        <f>IFERROR(__xludf.DUMMYFUNCTION("MIN(ARRAYFORMULA(TIMEVALUE(SPLIT(E316,"" ""))))"),0.3215277777777778)</f>
        <v>0.3215277778</v>
      </c>
      <c r="G316" s="44">
        <f>IFERROR(__xludf.DUMMYFUNCTION("MAX(ARRAYFORMULA(TIMEVALUE(SPLIT(E316,"" ""))))"),0.8138888888888889)</f>
        <v>0.8138888889</v>
      </c>
      <c r="H316" s="45"/>
      <c r="I316" s="45"/>
      <c r="J316" s="46">
        <f t="shared" si="24"/>
        <v>3</v>
      </c>
      <c r="K316" s="27"/>
      <c r="L316" s="38"/>
      <c r="M316" s="38" t="str">
        <f t="shared" si="21"/>
        <v/>
      </c>
      <c r="N316" s="47"/>
      <c r="O316" s="48" t="str">
        <f t="shared" si="22"/>
        <v>Hai</v>
      </c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42">
        <v>89938.0</v>
      </c>
      <c r="B317" s="42" t="s">
        <v>66</v>
      </c>
      <c r="C317" s="42" t="s">
        <v>67</v>
      </c>
      <c r="D317" s="43">
        <v>46259.0</v>
      </c>
      <c r="E317" s="42" t="s">
        <v>282</v>
      </c>
      <c r="F317" s="44">
        <f>IFERROR(__xludf.DUMMYFUNCTION("MIN(ARRAYFORMULA(TIMEVALUE(SPLIT(E317,"" ""))))"),0.3145833333333333)</f>
        <v>0.3145833333</v>
      </c>
      <c r="G317" s="44">
        <f>IFERROR(__xludf.DUMMYFUNCTION("MAX(ARRAYFORMULA(TIMEVALUE(SPLIT(E317,"" ""))))"),0.7291666666666666)</f>
        <v>0.7291666667</v>
      </c>
      <c r="H317" s="45"/>
      <c r="I317" s="45"/>
      <c r="J317" s="46">
        <f t="shared" si="24"/>
        <v>2</v>
      </c>
      <c r="K317" s="27"/>
      <c r="L317" s="38"/>
      <c r="M317" s="38" t="str">
        <f t="shared" si="21"/>
        <v/>
      </c>
      <c r="N317" s="47"/>
      <c r="O317" s="48" t="str">
        <f t="shared" si="22"/>
        <v>Ba</v>
      </c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42">
        <v>89938.0</v>
      </c>
      <c r="B318" s="42" t="s">
        <v>66</v>
      </c>
      <c r="C318" s="42" t="s">
        <v>67</v>
      </c>
      <c r="D318" s="43">
        <v>46260.0</v>
      </c>
      <c r="E318" s="42" t="s">
        <v>101</v>
      </c>
      <c r="F318" s="44">
        <f>IFERROR(__xludf.DUMMYFUNCTION("MIN(ARRAYFORMULA(TIMEVALUE(SPLIT(E318,"" ""))))"),0.3263888888888889)</f>
        <v>0.3263888889</v>
      </c>
      <c r="G318" s="44">
        <f>IFERROR(__xludf.DUMMYFUNCTION("MAX(ARRAYFORMULA(TIMEVALUE(SPLIT(E318,"" ""))))"),0.8125)</f>
        <v>0.8125</v>
      </c>
      <c r="H318" s="45"/>
      <c r="I318" s="45"/>
      <c r="J318" s="46">
        <f t="shared" si="24"/>
        <v>3</v>
      </c>
      <c r="K318" s="27"/>
      <c r="L318" s="38"/>
      <c r="M318" s="38" t="str">
        <f t="shared" si="21"/>
        <v/>
      </c>
      <c r="N318" s="47"/>
      <c r="O318" s="48" t="str">
        <f t="shared" si="22"/>
        <v>Tư</v>
      </c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42">
        <v>89938.0</v>
      </c>
      <c r="B319" s="42" t="s">
        <v>66</v>
      </c>
      <c r="C319" s="42" t="s">
        <v>67</v>
      </c>
      <c r="D319" s="43">
        <v>46261.0</v>
      </c>
      <c r="E319" s="42" t="s">
        <v>283</v>
      </c>
      <c r="F319" s="44">
        <f>IFERROR(__xludf.DUMMYFUNCTION("MIN(ARRAYFORMULA(TIMEVALUE(SPLIT(E319,"" ""))))"),0.3284722222222222)</f>
        <v>0.3284722222</v>
      </c>
      <c r="G319" s="44">
        <f>IFERROR(__xludf.DUMMYFUNCTION("MAX(ARRAYFORMULA(TIMEVALUE(SPLIT(E319,"" ""))))"),0.7291666666666666)</f>
        <v>0.7291666667</v>
      </c>
      <c r="H319" s="45"/>
      <c r="I319" s="45"/>
      <c r="J319" s="46">
        <f t="shared" si="24"/>
        <v>2</v>
      </c>
      <c r="K319" s="27"/>
      <c r="L319" s="38"/>
      <c r="M319" s="38" t="str">
        <f t="shared" si="21"/>
        <v/>
      </c>
      <c r="N319" s="47"/>
      <c r="O319" s="48" t="str">
        <f t="shared" si="22"/>
        <v>Năm</v>
      </c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42">
        <v>89938.0</v>
      </c>
      <c r="B320" s="42" t="s">
        <v>66</v>
      </c>
      <c r="C320" s="42" t="s">
        <v>67</v>
      </c>
      <c r="D320" s="43">
        <v>46262.0</v>
      </c>
      <c r="E320" s="42" t="s">
        <v>284</v>
      </c>
      <c r="F320" s="44">
        <f>IFERROR(__xludf.DUMMYFUNCTION("MIN(ARRAYFORMULA(TIMEVALUE(SPLIT(E320,"" ""))))"),0.5652777777777778)</f>
        <v>0.5652777778</v>
      </c>
      <c r="G320" s="44">
        <f>IFERROR(__xludf.DUMMYFUNCTION("MAX(ARRAYFORMULA(TIMEVALUE(SPLIT(E320,"" ""))))"),0.8125)</f>
        <v>0.8125</v>
      </c>
      <c r="H320" s="45"/>
      <c r="I320" s="45"/>
      <c r="J320" s="46">
        <f t="shared" si="24"/>
        <v>2</v>
      </c>
      <c r="K320" s="27"/>
      <c r="L320" s="38"/>
      <c r="M320" s="38" t="str">
        <f t="shared" si="21"/>
        <v/>
      </c>
      <c r="N320" s="47"/>
      <c r="O320" s="48" t="str">
        <f t="shared" si="22"/>
        <v>Sáu</v>
      </c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42">
        <v>89938.0</v>
      </c>
      <c r="B321" s="42" t="s">
        <v>66</v>
      </c>
      <c r="C321" s="42" t="s">
        <v>67</v>
      </c>
      <c r="D321" s="43">
        <v>46263.0</v>
      </c>
      <c r="E321" s="42" t="s">
        <v>101</v>
      </c>
      <c r="F321" s="44">
        <f>IFERROR(__xludf.DUMMYFUNCTION("MIN(ARRAYFORMULA(TIMEVALUE(SPLIT(E321,"" ""))))"),0.3263888888888889)</f>
        <v>0.3263888889</v>
      </c>
      <c r="G321" s="44">
        <f>IFERROR(__xludf.DUMMYFUNCTION("MAX(ARRAYFORMULA(TIMEVALUE(SPLIT(E321,"" ""))))"),0.8125)</f>
        <v>0.8125</v>
      </c>
      <c r="H321" s="45"/>
      <c r="I321" s="45"/>
      <c r="J321" s="46">
        <f t="shared" si="24"/>
        <v>3</v>
      </c>
      <c r="K321" s="27"/>
      <c r="L321" s="38"/>
      <c r="M321" s="38" t="str">
        <f t="shared" si="21"/>
        <v/>
      </c>
      <c r="N321" s="47"/>
      <c r="O321" s="48" t="str">
        <f t="shared" si="22"/>
        <v>Bảy</v>
      </c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42">
        <v>89938.0</v>
      </c>
      <c r="B322" s="42" t="s">
        <v>66</v>
      </c>
      <c r="C322" s="42" t="s">
        <v>67</v>
      </c>
      <c r="D322" s="43">
        <v>46264.0</v>
      </c>
      <c r="E322" s="42" t="s">
        <v>285</v>
      </c>
      <c r="F322" s="44">
        <f>IFERROR(__xludf.DUMMYFUNCTION("MIN(ARRAYFORMULA(TIMEVALUE(SPLIT(E322,"" ""))))"),0.33194444444444443)</f>
        <v>0.3319444444</v>
      </c>
      <c r="G322" s="44">
        <f>IFERROR(__xludf.DUMMYFUNCTION("MAX(ARRAYFORMULA(TIMEVALUE(SPLIT(E322,"" ""))))"),0.6291666666666667)</f>
        <v>0.6291666667</v>
      </c>
      <c r="H322" s="45"/>
      <c r="I322" s="45"/>
      <c r="J322" s="46">
        <f t="shared" si="24"/>
        <v>1</v>
      </c>
      <c r="K322" s="27"/>
      <c r="L322" s="38"/>
      <c r="M322" s="38" t="str">
        <f t="shared" si="21"/>
        <v/>
      </c>
      <c r="N322" s="47"/>
      <c r="O322" s="48" t="str">
        <f t="shared" si="22"/>
        <v>CN</v>
      </c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42">
        <v>89938.0</v>
      </c>
      <c r="B323" s="42" t="s">
        <v>66</v>
      </c>
      <c r="C323" s="42" t="s">
        <v>67</v>
      </c>
      <c r="D323" s="43">
        <v>46265.0</v>
      </c>
      <c r="E323" s="42" t="s">
        <v>101</v>
      </c>
      <c r="F323" s="44">
        <f>IFERROR(__xludf.DUMMYFUNCTION("MIN(ARRAYFORMULA(TIMEVALUE(SPLIT(E323,"" ""))))"),0.3263888888888889)</f>
        <v>0.3263888889</v>
      </c>
      <c r="G323" s="44">
        <f>IFERROR(__xludf.DUMMYFUNCTION("MAX(ARRAYFORMULA(TIMEVALUE(SPLIT(E323,"" ""))))"),0.8125)</f>
        <v>0.8125</v>
      </c>
      <c r="H323" s="45"/>
      <c r="I323" s="45"/>
      <c r="J323" s="46">
        <f t="shared" si="24"/>
        <v>3</v>
      </c>
      <c r="K323" s="27"/>
      <c r="L323" s="38"/>
      <c r="M323" s="38" t="str">
        <f t="shared" si="21"/>
        <v/>
      </c>
      <c r="N323" s="47"/>
      <c r="O323" s="48" t="str">
        <f t="shared" si="22"/>
        <v>Hai</v>
      </c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6">
        <v>3.46016282E8</v>
      </c>
      <c r="B324" s="26" t="s">
        <v>37</v>
      </c>
      <c r="C324" s="26" t="s">
        <v>23</v>
      </c>
      <c r="D324" s="28">
        <v>46235.0</v>
      </c>
      <c r="E324" s="26" t="s">
        <v>286</v>
      </c>
      <c r="F324" s="30">
        <f>IFERROR(__xludf.DUMMYFUNCTION("MIN(ARRAYFORMULA(TIMEVALUE(SPLIT(E324,"" ""))))"),0.5527777777777778)</f>
        <v>0.5527777778</v>
      </c>
      <c r="G324" s="30">
        <f>IFERROR(__xludf.DUMMYFUNCTION("MAX(ARRAYFORMULA(TIMEVALUE(SPLIT(E324,"" ""))))"),0.8097222222222222)</f>
        <v>0.8097222222</v>
      </c>
      <c r="H324" s="31"/>
      <c r="I324" s="31"/>
      <c r="J324" s="39">
        <f t="shared" si="24"/>
        <v>2</v>
      </c>
      <c r="K324" s="40"/>
      <c r="L324" s="31"/>
      <c r="M324" s="31" t="str">
        <f t="shared" si="21"/>
        <v/>
      </c>
      <c r="N324" s="26" t="s">
        <v>28</v>
      </c>
      <c r="O324" s="41"/>
      <c r="P324" s="41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42">
        <v>16282.0</v>
      </c>
      <c r="B325" s="42" t="s">
        <v>37</v>
      </c>
      <c r="C325" s="42" t="s">
        <v>23</v>
      </c>
      <c r="D325" s="43">
        <v>46237.0</v>
      </c>
      <c r="E325" s="42" t="s">
        <v>287</v>
      </c>
      <c r="F325" s="44">
        <f>IFERROR(__xludf.DUMMYFUNCTION("MIN(ARRAYFORMULA(TIMEVALUE(SPLIT(E325,"" ""))))"),0.5479166666666667)</f>
        <v>0.5479166667</v>
      </c>
      <c r="G325" s="44">
        <f>IFERROR(__xludf.DUMMYFUNCTION("MAX(ARRAYFORMULA(TIMEVALUE(SPLIT(E325,"" ""))))"),0.80625)</f>
        <v>0.80625</v>
      </c>
      <c r="H325" s="45"/>
      <c r="I325" s="45"/>
      <c r="J325" s="55">
        <v>2.0</v>
      </c>
      <c r="K325" s="27"/>
      <c r="L325" s="38"/>
      <c r="M325" s="38" t="str">
        <f t="shared" si="21"/>
        <v/>
      </c>
      <c r="N325" s="26" t="s">
        <v>60</v>
      </c>
      <c r="O325" s="48" t="str">
        <f t="shared" ref="O325:O331" si="25">CHOOSE(WEEKDAY(D325,2),"Hai","Ba","Tư","Năm","Sáu","Bảy","CN")</f>
        <v>Hai</v>
      </c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42">
        <v>16282.0</v>
      </c>
      <c r="B326" s="42" t="s">
        <v>37</v>
      </c>
      <c r="C326" s="42" t="s">
        <v>23</v>
      </c>
      <c r="D326" s="43">
        <v>46239.0</v>
      </c>
      <c r="E326" s="42" t="s">
        <v>288</v>
      </c>
      <c r="F326" s="44">
        <f>IFERROR(__xludf.DUMMYFUNCTION("MIN(ARRAYFORMULA(TIMEVALUE(SPLIT(E326,"" ""))))"),0.55)</f>
        <v>0.55</v>
      </c>
      <c r="G326" s="44">
        <f>IFERROR(__xludf.DUMMYFUNCTION("MAX(ARRAYFORMULA(TIMEVALUE(SPLIT(E326,"" ""))))"),0.8069444444444445)</f>
        <v>0.8069444444</v>
      </c>
      <c r="H326" s="45"/>
      <c r="I326" s="45"/>
      <c r="J326" s="55">
        <v>2.0</v>
      </c>
      <c r="K326" s="27"/>
      <c r="L326" s="38"/>
      <c r="M326" s="38" t="str">
        <f t="shared" si="21"/>
        <v/>
      </c>
      <c r="N326" s="26" t="s">
        <v>60</v>
      </c>
      <c r="O326" s="48" t="str">
        <f t="shared" si="25"/>
        <v>Tư</v>
      </c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42">
        <v>16282.0</v>
      </c>
      <c r="B327" s="42" t="s">
        <v>37</v>
      </c>
      <c r="C327" s="42" t="s">
        <v>23</v>
      </c>
      <c r="D327" s="43">
        <v>46241.0</v>
      </c>
      <c r="E327" s="42" t="s">
        <v>289</v>
      </c>
      <c r="F327" s="44">
        <f>IFERROR(__xludf.DUMMYFUNCTION("MIN(ARRAYFORMULA(TIMEVALUE(SPLIT(E327,"" ""))))"),0.5520833333333334)</f>
        <v>0.5520833333</v>
      </c>
      <c r="G327" s="44">
        <f>IFERROR(__xludf.DUMMYFUNCTION("MAX(ARRAYFORMULA(TIMEVALUE(SPLIT(E327,"" ""))))"),0.8069444444444445)</f>
        <v>0.8069444444</v>
      </c>
      <c r="H327" s="45"/>
      <c r="I327" s="45"/>
      <c r="J327" s="55">
        <v>2.0</v>
      </c>
      <c r="K327" s="27"/>
      <c r="L327" s="38"/>
      <c r="M327" s="38" t="str">
        <f t="shared" si="21"/>
        <v/>
      </c>
      <c r="N327" s="26" t="s">
        <v>60</v>
      </c>
      <c r="O327" s="48" t="str">
        <f t="shared" si="25"/>
        <v>Sáu</v>
      </c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42">
        <v>16282.0</v>
      </c>
      <c r="B328" s="42" t="s">
        <v>37</v>
      </c>
      <c r="C328" s="42" t="s">
        <v>23</v>
      </c>
      <c r="D328" s="43">
        <v>46243.0</v>
      </c>
      <c r="E328" s="42" t="s">
        <v>290</v>
      </c>
      <c r="F328" s="44">
        <f>IFERROR(__xludf.DUMMYFUNCTION("MIN(ARRAYFORMULA(TIMEVALUE(SPLIT(E328,"" ""))))"),0.33055555555555555)</f>
        <v>0.3305555556</v>
      </c>
      <c r="G328" s="44">
        <f>IFERROR(__xludf.DUMMYFUNCTION("MAX(ARRAYFORMULA(TIMEVALUE(SPLIT(E328,"" ""))))"),0.49583333333333335)</f>
        <v>0.4958333333</v>
      </c>
      <c r="H328" s="45"/>
      <c r="I328" s="45"/>
      <c r="J328" s="55">
        <v>1.0</v>
      </c>
      <c r="K328" s="27"/>
      <c r="L328" s="38"/>
      <c r="M328" s="38" t="str">
        <f t="shared" si="21"/>
        <v/>
      </c>
      <c r="N328" s="26" t="s">
        <v>60</v>
      </c>
      <c r="O328" s="48" t="str">
        <f t="shared" si="25"/>
        <v>CN</v>
      </c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42">
        <v>16282.0</v>
      </c>
      <c r="B329" s="42" t="s">
        <v>37</v>
      </c>
      <c r="C329" s="42" t="s">
        <v>23</v>
      </c>
      <c r="D329" s="43">
        <v>46244.0</v>
      </c>
      <c r="E329" s="42" t="s">
        <v>291</v>
      </c>
      <c r="F329" s="44">
        <f>IFERROR(__xludf.DUMMYFUNCTION("MIN(ARRAYFORMULA(TIMEVALUE(SPLIT(E329,"" ""))))"),0.5472222222222223)</f>
        <v>0.5472222222</v>
      </c>
      <c r="G329" s="44">
        <f>IFERROR(__xludf.DUMMYFUNCTION("MAX(ARRAYFORMULA(TIMEVALUE(SPLIT(E329,"" ""))))"),0.8027777777777778)</f>
        <v>0.8027777778</v>
      </c>
      <c r="H329" s="45"/>
      <c r="I329" s="45"/>
      <c r="J329" s="55">
        <v>2.0</v>
      </c>
      <c r="K329" s="27"/>
      <c r="L329" s="38"/>
      <c r="M329" s="38" t="str">
        <f t="shared" si="21"/>
        <v/>
      </c>
      <c r="N329" s="26" t="s">
        <v>60</v>
      </c>
      <c r="O329" s="48" t="str">
        <f t="shared" si="25"/>
        <v>Hai</v>
      </c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42">
        <v>16282.0</v>
      </c>
      <c r="B330" s="42" t="s">
        <v>37</v>
      </c>
      <c r="C330" s="42" t="s">
        <v>23</v>
      </c>
      <c r="D330" s="43">
        <v>46251.0</v>
      </c>
      <c r="E330" s="42" t="s">
        <v>292</v>
      </c>
      <c r="F330" s="44">
        <f>IFERROR(__xludf.DUMMYFUNCTION("MIN(ARRAYFORMULA(TIMEVALUE(SPLIT(E330,"" ""))))"),0.5479166666666667)</f>
        <v>0.5479166667</v>
      </c>
      <c r="G330" s="44">
        <f>IFERROR(__xludf.DUMMYFUNCTION("MAX(ARRAYFORMULA(TIMEVALUE(SPLIT(E330,"" ""))))"),0.8125)</f>
        <v>0.8125</v>
      </c>
      <c r="H330" s="45"/>
      <c r="I330" s="45"/>
      <c r="J330" s="46">
        <f>IF(WEEKDAY(D330,2)=7,IF(AND(F330&lt;TIME(8,15,0),G330&gt;=TIME(11,55,0)),1,0)+IF(AND(F330&lt;TIME(13,45,0),G330&gt;=TIME(17,55,0)),1,0),IF(AND(F330&lt;TIME(8,15,0),G330&gt;=TIME(11,55,0)),1,0)+IF(AND(F330&lt;TIME(13,45,0),G330&gt;=TIME(17,25,0)),1,0)+IF(AND(F330&lt;TIME(15,45,0),G330&gt;=TIME(19,25,0)),1,0))</f>
        <v>2</v>
      </c>
      <c r="K330" s="27"/>
      <c r="L330" s="38"/>
      <c r="M330" s="38" t="str">
        <f t="shared" si="21"/>
        <v/>
      </c>
      <c r="N330" s="26" t="s">
        <v>60</v>
      </c>
      <c r="O330" s="48" t="str">
        <f t="shared" si="25"/>
        <v>Hai</v>
      </c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42">
        <v>16282.0</v>
      </c>
      <c r="B331" s="42" t="s">
        <v>37</v>
      </c>
      <c r="C331" s="42" t="s">
        <v>23</v>
      </c>
      <c r="D331" s="43">
        <v>46253.0</v>
      </c>
      <c r="E331" s="42" t="s">
        <v>293</v>
      </c>
      <c r="F331" s="44">
        <f>IFERROR(__xludf.DUMMYFUNCTION("MIN(ARRAYFORMULA(TIMEVALUE(SPLIT(E331,"" ""))))"),0.5493055555555556)</f>
        <v>0.5493055556</v>
      </c>
      <c r="G331" s="44">
        <f>IFERROR(__xludf.DUMMYFUNCTION("MAX(ARRAYFORMULA(TIMEVALUE(SPLIT(E331,"" ""))))"),0.8083333333333333)</f>
        <v>0.8083333333</v>
      </c>
      <c r="H331" s="45"/>
      <c r="I331" s="45"/>
      <c r="J331" s="55">
        <v>2.0</v>
      </c>
      <c r="K331" s="27"/>
      <c r="L331" s="38"/>
      <c r="M331" s="38" t="str">
        <f t="shared" si="21"/>
        <v/>
      </c>
      <c r="N331" s="26" t="s">
        <v>60</v>
      </c>
      <c r="O331" s="48" t="str">
        <f t="shared" si="25"/>
        <v>Tư</v>
      </c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6">
        <v>3.46016282E8</v>
      </c>
      <c r="B332" s="26" t="s">
        <v>37</v>
      </c>
      <c r="C332" s="26" t="s">
        <v>23</v>
      </c>
      <c r="D332" s="28">
        <v>46254.0</v>
      </c>
      <c r="E332" s="26" t="s">
        <v>294</v>
      </c>
      <c r="F332" s="30">
        <f>IFERROR(__xludf.DUMMYFUNCTION("MIN(ARRAYFORMULA(TIMEVALUE(SPLIT(E332,"" ""))))"),0.5444444444444444)</f>
        <v>0.5444444444</v>
      </c>
      <c r="G332" s="30">
        <f>IFERROR(__xludf.DUMMYFUNCTION("MAX(ARRAYFORMULA(TIMEVALUE(SPLIT(E332,"" ""))))"),0.8125)</f>
        <v>0.8125</v>
      </c>
      <c r="H332" s="31"/>
      <c r="I332" s="31"/>
      <c r="J332" s="39">
        <f t="shared" ref="J332:J335" si="26">IF(WEEKDAY(D332,2)=7,IF(AND(F332&lt;TIME(8,15,0),G332&gt;=TIME(11,55,0)),1,0)+IF(AND(F332&lt;TIME(13,45,0),G332&gt;=TIME(17,55,0)),1,0),IF(AND(F332&lt;TIME(8,15,0),G332&gt;=TIME(11,55,0)),1,0)+IF(AND(F332&lt;TIME(13,45,0),G332&gt;=TIME(17,25,0)),1,0)+IF(AND(F332&lt;TIME(15,45,0),G332&gt;=TIME(19,25,0)),1,0))</f>
        <v>2</v>
      </c>
      <c r="K332" s="40"/>
      <c r="L332" s="31"/>
      <c r="M332" s="31" t="str">
        <f t="shared" si="21"/>
        <v/>
      </c>
      <c r="N332" s="26" t="s">
        <v>28</v>
      </c>
      <c r="O332" s="41"/>
      <c r="P332" s="41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42">
        <v>16282.0</v>
      </c>
      <c r="B333" s="42" t="s">
        <v>37</v>
      </c>
      <c r="C333" s="42" t="s">
        <v>23</v>
      </c>
      <c r="D333" s="43">
        <v>46255.0</v>
      </c>
      <c r="E333" s="42" t="s">
        <v>295</v>
      </c>
      <c r="F333" s="44">
        <f>IFERROR(__xludf.DUMMYFUNCTION("MIN(ARRAYFORMULA(TIMEVALUE(SPLIT(E333,"" ""))))"),0.5527777777777778)</f>
        <v>0.5527777778</v>
      </c>
      <c r="G333" s="44">
        <f>IFERROR(__xludf.DUMMYFUNCTION("MAX(ARRAYFORMULA(TIMEVALUE(SPLIT(E333,"" ""))))"),0.8090277777777778)</f>
        <v>0.8090277778</v>
      </c>
      <c r="H333" s="45"/>
      <c r="I333" s="45"/>
      <c r="J333" s="46">
        <f t="shared" si="26"/>
        <v>2</v>
      </c>
      <c r="K333" s="27"/>
      <c r="L333" s="38"/>
      <c r="M333" s="38" t="str">
        <f t="shared" si="21"/>
        <v/>
      </c>
      <c r="N333" s="26" t="s">
        <v>60</v>
      </c>
      <c r="O333" s="48" t="str">
        <f>CHOOSE(WEEKDAY(D333,2),"Hai","Ba","Tư","Năm","Sáu","Bảy","CN")</f>
        <v>Sáu</v>
      </c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6">
        <v>3.46016282E8</v>
      </c>
      <c r="B334" s="26" t="s">
        <v>37</v>
      </c>
      <c r="C334" s="26" t="s">
        <v>23</v>
      </c>
      <c r="D334" s="28">
        <v>46256.0</v>
      </c>
      <c r="E334" s="26" t="s">
        <v>296</v>
      </c>
      <c r="F334" s="30">
        <f>IFERROR(__xludf.DUMMYFUNCTION("MIN(ARRAYFORMULA(TIMEVALUE(SPLIT(E334,"" ""))))"),0.5472222222222223)</f>
        <v>0.5472222222</v>
      </c>
      <c r="G334" s="30">
        <f>IFERROR(__xludf.DUMMYFUNCTION("MAX(ARRAYFORMULA(TIMEVALUE(SPLIT(E334,"" ""))))"),0.8125)</f>
        <v>0.8125</v>
      </c>
      <c r="H334" s="31"/>
      <c r="I334" s="31"/>
      <c r="J334" s="39">
        <f t="shared" si="26"/>
        <v>2</v>
      </c>
      <c r="K334" s="40"/>
      <c r="L334" s="31"/>
      <c r="M334" s="31" t="str">
        <f t="shared" si="21"/>
        <v/>
      </c>
      <c r="N334" s="26" t="s">
        <v>28</v>
      </c>
      <c r="O334" s="41"/>
      <c r="P334" s="41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42">
        <v>16282.0</v>
      </c>
      <c r="B335" s="42" t="s">
        <v>37</v>
      </c>
      <c r="C335" s="42" t="s">
        <v>23</v>
      </c>
      <c r="D335" s="43">
        <v>46258.0</v>
      </c>
      <c r="E335" s="42" t="s">
        <v>297</v>
      </c>
      <c r="F335" s="44">
        <f>IFERROR(__xludf.DUMMYFUNCTION("MIN(ARRAYFORMULA(TIMEVALUE(SPLIT(E335,"" ""))))"),0.55)</f>
        <v>0.55</v>
      </c>
      <c r="G335" s="44">
        <f>IFERROR(__xludf.DUMMYFUNCTION("MAX(ARRAYFORMULA(TIMEVALUE(SPLIT(E335,"" ""))))"),0.8090277777777778)</f>
        <v>0.8090277778</v>
      </c>
      <c r="H335" s="45"/>
      <c r="I335" s="45"/>
      <c r="J335" s="46">
        <f t="shared" si="26"/>
        <v>2</v>
      </c>
      <c r="K335" s="27"/>
      <c r="L335" s="38"/>
      <c r="M335" s="38" t="str">
        <f t="shared" si="21"/>
        <v/>
      </c>
      <c r="N335" s="26" t="s">
        <v>60</v>
      </c>
      <c r="O335" s="48" t="str">
        <f t="shared" ref="O335:O377" si="27">CHOOSE(WEEKDAY(D335,2),"Hai","Ba","Tư","Năm","Sáu","Bảy","CN")</f>
        <v>Hai</v>
      </c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42">
        <v>16282.0</v>
      </c>
      <c r="B336" s="42" t="s">
        <v>37</v>
      </c>
      <c r="C336" s="42" t="s">
        <v>23</v>
      </c>
      <c r="D336" s="43">
        <v>46260.0</v>
      </c>
      <c r="E336" s="42" t="s">
        <v>298</v>
      </c>
      <c r="F336" s="44">
        <f>IFERROR(__xludf.DUMMYFUNCTION("MIN(ARRAYFORMULA(TIMEVALUE(SPLIT(E336,"" ""))))"),0.5472222222222223)</f>
        <v>0.5472222222</v>
      </c>
      <c r="G336" s="44">
        <f>IFERROR(__xludf.DUMMYFUNCTION("MAX(ARRAYFORMULA(TIMEVALUE(SPLIT(E336,"" ""))))"),0.8076388888888889)</f>
        <v>0.8076388889</v>
      </c>
      <c r="H336" s="45"/>
      <c r="I336" s="45"/>
      <c r="J336" s="55">
        <v>2.0</v>
      </c>
      <c r="K336" s="27"/>
      <c r="L336" s="38"/>
      <c r="M336" s="38" t="str">
        <f t="shared" si="21"/>
        <v/>
      </c>
      <c r="N336" s="26" t="s">
        <v>60</v>
      </c>
      <c r="O336" s="48" t="str">
        <f t="shared" si="27"/>
        <v>Tư</v>
      </c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6">
        <v>3.46016282E8</v>
      </c>
      <c r="B337" s="26" t="s">
        <v>37</v>
      </c>
      <c r="C337" s="26" t="s">
        <v>23</v>
      </c>
      <c r="D337" s="28">
        <v>46261.0</v>
      </c>
      <c r="E337" s="26" t="s">
        <v>299</v>
      </c>
      <c r="F337" s="30">
        <f>IFERROR(__xludf.DUMMYFUNCTION("MIN(ARRAYFORMULA(TIMEVALUE(SPLIT(E337,"" ""))))"),0.5416666666666666)</f>
        <v>0.5416666667</v>
      </c>
      <c r="G337" s="30">
        <f>IFERROR(__xludf.DUMMYFUNCTION("MAX(ARRAYFORMULA(TIMEVALUE(SPLIT(E337,"" ""))))"),0.8125)</f>
        <v>0.8125</v>
      </c>
      <c r="H337" s="31"/>
      <c r="I337" s="31"/>
      <c r="J337" s="39">
        <f t="shared" ref="J337:J412" si="28">IF(WEEKDAY(D337,2)=7,IF(AND(F337&lt;TIME(8,15,0),G337&gt;=TIME(11,55,0)),1,0)+IF(AND(F337&lt;TIME(13,45,0),G337&gt;=TIME(17,55,0)),1,0),IF(AND(F337&lt;TIME(8,15,0),G337&gt;=TIME(11,55,0)),1,0)+IF(AND(F337&lt;TIME(13,45,0),G337&gt;=TIME(17,25,0)),1,0)+IF(AND(F337&lt;TIME(15,45,0),G337&gt;=TIME(19,25,0)),1,0))</f>
        <v>2</v>
      </c>
      <c r="K337" s="40"/>
      <c r="L337" s="31"/>
      <c r="M337" s="31" t="str">
        <f t="shared" si="21"/>
        <v/>
      </c>
      <c r="N337" s="26" t="s">
        <v>60</v>
      </c>
      <c r="O337" s="48" t="str">
        <f t="shared" si="27"/>
        <v>Năm</v>
      </c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42">
        <v>66268.0</v>
      </c>
      <c r="B338" s="42" t="s">
        <v>76</v>
      </c>
      <c r="C338" s="42" t="s">
        <v>67</v>
      </c>
      <c r="D338" s="43">
        <v>46237.0</v>
      </c>
      <c r="E338" s="42" t="s">
        <v>300</v>
      </c>
      <c r="F338" s="44">
        <f>IFERROR(__xludf.DUMMYFUNCTION("MIN(ARRAYFORMULA(TIMEVALUE(SPLIT(E338,"" ""))))"),0.3284722222222222)</f>
        <v>0.3284722222</v>
      </c>
      <c r="G338" s="44">
        <f>IFERROR(__xludf.DUMMYFUNCTION("MAX(ARRAYFORMULA(TIMEVALUE(SPLIT(E338,"" ""))))"),0.8125)</f>
        <v>0.8125</v>
      </c>
      <c r="H338" s="45"/>
      <c r="I338" s="45"/>
      <c r="J338" s="46">
        <f t="shared" si="28"/>
        <v>3</v>
      </c>
      <c r="K338" s="27"/>
      <c r="L338" s="51">
        <v>1.0</v>
      </c>
      <c r="M338" s="51"/>
      <c r="N338" s="51" t="s">
        <v>301</v>
      </c>
      <c r="O338" s="48" t="str">
        <f t="shared" si="27"/>
        <v>Hai</v>
      </c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42">
        <v>66268.0</v>
      </c>
      <c r="B339" s="42" t="s">
        <v>76</v>
      </c>
      <c r="C339" s="42" t="s">
        <v>67</v>
      </c>
      <c r="D339" s="43">
        <v>46239.0</v>
      </c>
      <c r="E339" s="42" t="s">
        <v>171</v>
      </c>
      <c r="F339" s="44">
        <f>IFERROR(__xludf.DUMMYFUNCTION("MIN(ARRAYFORMULA(TIMEVALUE(SPLIT(E339,"" ""))))"),0.325)</f>
        <v>0.325</v>
      </c>
      <c r="G339" s="44">
        <f>IFERROR(__xludf.DUMMYFUNCTION("MAX(ARRAYFORMULA(TIMEVALUE(SPLIT(E339,"" ""))))"),0.8125)</f>
        <v>0.8125</v>
      </c>
      <c r="H339" s="45"/>
      <c r="I339" s="45"/>
      <c r="J339" s="46">
        <f t="shared" si="28"/>
        <v>3</v>
      </c>
      <c r="K339" s="51">
        <v>20.0</v>
      </c>
      <c r="L339" s="38"/>
      <c r="M339" s="38" t="str">
        <f t="shared" ref="M339:M645" si="29">IF(WEEKDAY(D339,2)=7,IF(J339=2,1,""),"")</f>
        <v/>
      </c>
      <c r="N339" s="47"/>
      <c r="O339" s="48" t="str">
        <f t="shared" si="27"/>
        <v>Tư</v>
      </c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42">
        <v>66268.0</v>
      </c>
      <c r="B340" s="42" t="s">
        <v>76</v>
      </c>
      <c r="C340" s="42" t="s">
        <v>67</v>
      </c>
      <c r="D340" s="43">
        <v>46240.0</v>
      </c>
      <c r="E340" s="42" t="s">
        <v>71</v>
      </c>
      <c r="F340" s="44">
        <f>IFERROR(__xludf.DUMMYFUNCTION("MIN(ARRAYFORMULA(TIMEVALUE(SPLIT(E340,"" ""))))"),0.33055555555555555)</f>
        <v>0.3305555556</v>
      </c>
      <c r="G340" s="44">
        <f>IFERROR(__xludf.DUMMYFUNCTION("MAX(ARRAYFORMULA(TIMEVALUE(SPLIT(E340,"" ""))))"),0.8125)</f>
        <v>0.8125</v>
      </c>
      <c r="H340" s="45"/>
      <c r="I340" s="45"/>
      <c r="J340" s="46">
        <f t="shared" si="28"/>
        <v>3</v>
      </c>
      <c r="K340" s="27"/>
      <c r="L340" s="38"/>
      <c r="M340" s="38" t="str">
        <f t="shared" si="29"/>
        <v/>
      </c>
      <c r="N340" s="47"/>
      <c r="O340" s="48" t="str">
        <f t="shared" si="27"/>
        <v>Năm</v>
      </c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42">
        <v>66268.0</v>
      </c>
      <c r="B341" s="42" t="s">
        <v>76</v>
      </c>
      <c r="C341" s="42" t="s">
        <v>67</v>
      </c>
      <c r="D341" s="43">
        <v>46241.0</v>
      </c>
      <c r="E341" s="42" t="s">
        <v>99</v>
      </c>
      <c r="F341" s="44">
        <f>IFERROR(__xludf.DUMMYFUNCTION("MIN(ARRAYFORMULA(TIMEVALUE(SPLIT(E341,"" ""))))"),0.3229166666666667)</f>
        <v>0.3229166667</v>
      </c>
      <c r="G341" s="44">
        <f>IFERROR(__xludf.DUMMYFUNCTION("MAX(ARRAYFORMULA(TIMEVALUE(SPLIT(E341,"" ""))))"),0.8125)</f>
        <v>0.8125</v>
      </c>
      <c r="H341" s="45"/>
      <c r="I341" s="45"/>
      <c r="J341" s="46">
        <f t="shared" si="28"/>
        <v>3</v>
      </c>
      <c r="K341" s="27"/>
      <c r="L341" s="38"/>
      <c r="M341" s="38" t="str">
        <f t="shared" si="29"/>
        <v/>
      </c>
      <c r="N341" s="47"/>
      <c r="O341" s="48" t="str">
        <f t="shared" si="27"/>
        <v>Sáu</v>
      </c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42">
        <v>66268.0</v>
      </c>
      <c r="B342" s="42" t="s">
        <v>76</v>
      </c>
      <c r="C342" s="42" t="s">
        <v>67</v>
      </c>
      <c r="D342" s="43">
        <v>46242.0</v>
      </c>
      <c r="E342" s="42" t="s">
        <v>137</v>
      </c>
      <c r="F342" s="44">
        <f>IFERROR(__xludf.DUMMYFUNCTION("MIN(ARRAYFORMULA(TIMEVALUE(SPLIT(E342,"" ""))))"),0.3236111111111111)</f>
        <v>0.3236111111</v>
      </c>
      <c r="G342" s="44">
        <f>IFERROR(__xludf.DUMMYFUNCTION("MAX(ARRAYFORMULA(TIMEVALUE(SPLIT(E342,"" ""))))"),0.8125)</f>
        <v>0.8125</v>
      </c>
      <c r="H342" s="45"/>
      <c r="I342" s="45"/>
      <c r="J342" s="46">
        <f t="shared" si="28"/>
        <v>3</v>
      </c>
      <c r="K342" s="27"/>
      <c r="L342" s="38"/>
      <c r="M342" s="38" t="str">
        <f t="shared" si="29"/>
        <v/>
      </c>
      <c r="N342" s="47"/>
      <c r="O342" s="48" t="str">
        <f t="shared" si="27"/>
        <v>Bảy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42">
        <v>66268.0</v>
      </c>
      <c r="B343" s="42" t="s">
        <v>76</v>
      </c>
      <c r="C343" s="42" t="s">
        <v>67</v>
      </c>
      <c r="D343" s="43">
        <v>46243.0</v>
      </c>
      <c r="E343" s="42" t="s">
        <v>302</v>
      </c>
      <c r="F343" s="44">
        <f>IFERROR(__xludf.DUMMYFUNCTION("MIN(ARRAYFORMULA(TIMEVALUE(SPLIT(E343,"" ""))))"),0.3229166666666667)</f>
        <v>0.3229166667</v>
      </c>
      <c r="G343" s="44">
        <f>IFERROR(__xludf.DUMMYFUNCTION("MAX(ARRAYFORMULA(TIMEVALUE(SPLIT(E343,"" ""))))"),0.75)</f>
        <v>0.75</v>
      </c>
      <c r="H343" s="45"/>
      <c r="I343" s="45"/>
      <c r="J343" s="46">
        <f t="shared" si="28"/>
        <v>2</v>
      </c>
      <c r="K343" s="51">
        <v>15.0</v>
      </c>
      <c r="L343" s="38"/>
      <c r="M343" s="38">
        <f t="shared" si="29"/>
        <v>1</v>
      </c>
      <c r="N343" s="47"/>
      <c r="O343" s="48" t="str">
        <f t="shared" si="27"/>
        <v>CN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42">
        <v>66268.0</v>
      </c>
      <c r="B344" s="42" t="s">
        <v>76</v>
      </c>
      <c r="C344" s="42" t="s">
        <v>67</v>
      </c>
      <c r="D344" s="43">
        <v>46244.0</v>
      </c>
      <c r="E344" s="42" t="s">
        <v>303</v>
      </c>
      <c r="F344" s="44">
        <f>IFERROR(__xludf.DUMMYFUNCTION("MIN(ARRAYFORMULA(TIMEVALUE(SPLIT(E344,"" ""))))"),0.3277777777777778)</f>
        <v>0.3277777778</v>
      </c>
      <c r="G344" s="44">
        <f>IFERROR(__xludf.DUMMYFUNCTION("MAX(ARRAYFORMULA(TIMEVALUE(SPLIT(E344,"" ""))))"),0.8125)</f>
        <v>0.8125</v>
      </c>
      <c r="H344" s="45"/>
      <c r="I344" s="45"/>
      <c r="J344" s="46">
        <f t="shared" si="28"/>
        <v>3</v>
      </c>
      <c r="K344" s="27"/>
      <c r="L344" s="38"/>
      <c r="M344" s="38" t="str">
        <f t="shared" si="29"/>
        <v/>
      </c>
      <c r="N344" s="47"/>
      <c r="O344" s="48" t="str">
        <f t="shared" si="27"/>
        <v>Hai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42">
        <v>66268.0</v>
      </c>
      <c r="B345" s="42" t="s">
        <v>76</v>
      </c>
      <c r="C345" s="42" t="s">
        <v>67</v>
      </c>
      <c r="D345" s="43">
        <v>46248.0</v>
      </c>
      <c r="E345" s="42" t="s">
        <v>304</v>
      </c>
      <c r="F345" s="44">
        <f>IFERROR(__xludf.DUMMYFUNCTION("MIN(ARRAYFORMULA(TIMEVALUE(SPLIT(E345,"" ""))))"),0.30972222222222223)</f>
        <v>0.3097222222</v>
      </c>
      <c r="G345" s="44">
        <f>IFERROR(__xludf.DUMMYFUNCTION("MAX(ARRAYFORMULA(TIMEVALUE(SPLIT(E345,"" ""))))"),0.8125)</f>
        <v>0.8125</v>
      </c>
      <c r="H345" s="45"/>
      <c r="I345" s="45"/>
      <c r="J345" s="46">
        <f t="shared" si="28"/>
        <v>3</v>
      </c>
      <c r="K345" s="27"/>
      <c r="L345" s="38"/>
      <c r="M345" s="38" t="str">
        <f t="shared" si="29"/>
        <v/>
      </c>
      <c r="N345" s="47"/>
      <c r="O345" s="57" t="str">
        <f t="shared" si="27"/>
        <v>Sáu</v>
      </c>
      <c r="P345" s="20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2">
        <v>66268.0</v>
      </c>
      <c r="B346" s="42" t="s">
        <v>76</v>
      </c>
      <c r="C346" s="42" t="s">
        <v>67</v>
      </c>
      <c r="D346" s="43">
        <v>46249.0</v>
      </c>
      <c r="E346" s="42" t="s">
        <v>305</v>
      </c>
      <c r="F346" s="44">
        <f>IFERROR(__xludf.DUMMYFUNCTION("MIN(ARRAYFORMULA(TIMEVALUE(SPLIT(E346,"" ""))))"),0.32569444444444445)</f>
        <v>0.3256944444</v>
      </c>
      <c r="G346" s="44">
        <f>IFERROR(__xludf.DUMMYFUNCTION("MAX(ARRAYFORMULA(TIMEVALUE(SPLIT(E346,"" ""))))"),0.7298611111111111)</f>
        <v>0.7298611111</v>
      </c>
      <c r="H346" s="45"/>
      <c r="I346" s="45"/>
      <c r="J346" s="46">
        <f t="shared" si="28"/>
        <v>2</v>
      </c>
      <c r="K346" s="27"/>
      <c r="L346" s="51">
        <v>1.0</v>
      </c>
      <c r="M346" s="38" t="str">
        <f t="shared" si="29"/>
        <v/>
      </c>
      <c r="N346" s="47"/>
      <c r="O346" s="57" t="str">
        <f t="shared" si="27"/>
        <v>Bảy</v>
      </c>
      <c r="P346" s="20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2">
        <v>66268.0</v>
      </c>
      <c r="B347" s="42" t="s">
        <v>76</v>
      </c>
      <c r="C347" s="42" t="s">
        <v>67</v>
      </c>
      <c r="D347" s="43">
        <v>46250.0</v>
      </c>
      <c r="E347" s="42" t="s">
        <v>306</v>
      </c>
      <c r="F347" s="44">
        <f>IFERROR(__xludf.DUMMYFUNCTION("MIN(ARRAYFORMULA(TIMEVALUE(SPLIT(E347,"" ""))))"),0.3236111111111111)</f>
        <v>0.3236111111</v>
      </c>
      <c r="G347" s="44">
        <f>IFERROR(__xludf.DUMMYFUNCTION("MAX(ARRAYFORMULA(TIMEVALUE(SPLIT(E347,"" ""))))"),0.75)</f>
        <v>0.75</v>
      </c>
      <c r="H347" s="45"/>
      <c r="I347" s="45"/>
      <c r="J347" s="46">
        <f t="shared" si="28"/>
        <v>2</v>
      </c>
      <c r="K347" s="27"/>
      <c r="L347" s="38"/>
      <c r="M347" s="38">
        <f t="shared" si="29"/>
        <v>1</v>
      </c>
      <c r="N347" s="47"/>
      <c r="O347" s="57" t="str">
        <f t="shared" si="27"/>
        <v>CN</v>
      </c>
      <c r="P347" s="20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2">
        <v>66268.0</v>
      </c>
      <c r="B348" s="42" t="s">
        <v>76</v>
      </c>
      <c r="C348" s="42" t="s">
        <v>67</v>
      </c>
      <c r="D348" s="43">
        <v>46251.0</v>
      </c>
      <c r="E348" s="42" t="s">
        <v>307</v>
      </c>
      <c r="F348" s="44">
        <f>IFERROR(__xludf.DUMMYFUNCTION("MIN(ARRAYFORMULA(TIMEVALUE(SPLIT(E348,"" ""))))"),0.32708333333333334)</f>
        <v>0.3270833333</v>
      </c>
      <c r="G348" s="44">
        <f>IFERROR(__xludf.DUMMYFUNCTION("MAX(ARRAYFORMULA(TIMEVALUE(SPLIT(E348,"" ""))))"),0.8131944444444444)</f>
        <v>0.8131944444</v>
      </c>
      <c r="H348" s="45"/>
      <c r="I348" s="45"/>
      <c r="J348" s="46">
        <f t="shared" si="28"/>
        <v>3</v>
      </c>
      <c r="K348" s="27"/>
      <c r="L348" s="38"/>
      <c r="M348" s="38" t="str">
        <f t="shared" si="29"/>
        <v/>
      </c>
      <c r="N348" s="47"/>
      <c r="O348" s="57" t="str">
        <f t="shared" si="27"/>
        <v>Hai</v>
      </c>
      <c r="P348" s="20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2">
        <v>66268.0</v>
      </c>
      <c r="B349" s="42" t="s">
        <v>76</v>
      </c>
      <c r="C349" s="42" t="s">
        <v>67</v>
      </c>
      <c r="D349" s="43">
        <v>46252.0</v>
      </c>
      <c r="E349" s="42" t="s">
        <v>308</v>
      </c>
      <c r="F349" s="44">
        <f>IFERROR(__xludf.DUMMYFUNCTION("MIN(ARRAYFORMULA(TIMEVALUE(SPLIT(E349,"" ""))))"),0.3298611111111111)</f>
        <v>0.3298611111</v>
      </c>
      <c r="G349" s="44">
        <f>IFERROR(__xludf.DUMMYFUNCTION("MAX(ARRAYFORMULA(TIMEVALUE(SPLIT(E349,"" ""))))"),0.8125)</f>
        <v>0.8125</v>
      </c>
      <c r="H349" s="45"/>
      <c r="I349" s="45"/>
      <c r="J349" s="46">
        <f t="shared" si="28"/>
        <v>3</v>
      </c>
      <c r="K349" s="27"/>
      <c r="L349" s="38"/>
      <c r="M349" s="38" t="str">
        <f t="shared" si="29"/>
        <v/>
      </c>
      <c r="N349" s="47"/>
      <c r="O349" s="57" t="str">
        <f t="shared" si="27"/>
        <v>Ba</v>
      </c>
      <c r="P349" s="20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2">
        <v>66268.0</v>
      </c>
      <c r="B350" s="42" t="s">
        <v>76</v>
      </c>
      <c r="C350" s="42" t="s">
        <v>67</v>
      </c>
      <c r="D350" s="43">
        <v>46253.0</v>
      </c>
      <c r="E350" s="42" t="s">
        <v>309</v>
      </c>
      <c r="F350" s="44">
        <f>IFERROR(__xludf.DUMMYFUNCTION("MIN(ARRAYFORMULA(TIMEVALUE(SPLIT(E350,"" ""))))"),0.32430555555555557)</f>
        <v>0.3243055556</v>
      </c>
      <c r="G350" s="44">
        <f>IFERROR(__xludf.DUMMYFUNCTION("MAX(ARRAYFORMULA(TIMEVALUE(SPLIT(E350,"" ""))))"),0.8125)</f>
        <v>0.8125</v>
      </c>
      <c r="H350" s="45"/>
      <c r="I350" s="45"/>
      <c r="J350" s="46">
        <f t="shared" si="28"/>
        <v>3</v>
      </c>
      <c r="K350" s="27"/>
      <c r="L350" s="38"/>
      <c r="M350" s="38" t="str">
        <f t="shared" si="29"/>
        <v/>
      </c>
      <c r="N350" s="47"/>
      <c r="O350" s="57" t="str">
        <f t="shared" si="27"/>
        <v>Tư</v>
      </c>
      <c r="P350" s="20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2">
        <v>66268.0</v>
      </c>
      <c r="B351" s="42" t="s">
        <v>76</v>
      </c>
      <c r="C351" s="42" t="s">
        <v>67</v>
      </c>
      <c r="D351" s="43">
        <v>46254.0</v>
      </c>
      <c r="E351" s="42" t="s">
        <v>309</v>
      </c>
      <c r="F351" s="44">
        <f>IFERROR(__xludf.DUMMYFUNCTION("MIN(ARRAYFORMULA(TIMEVALUE(SPLIT(E351,"" ""))))"),0.32430555555555557)</f>
        <v>0.3243055556</v>
      </c>
      <c r="G351" s="44">
        <f>IFERROR(__xludf.DUMMYFUNCTION("MAX(ARRAYFORMULA(TIMEVALUE(SPLIT(E351,"" ""))))"),0.8125)</f>
        <v>0.8125</v>
      </c>
      <c r="H351" s="45"/>
      <c r="I351" s="45"/>
      <c r="J351" s="46">
        <f t="shared" si="28"/>
        <v>3</v>
      </c>
      <c r="K351" s="51">
        <v>30.0</v>
      </c>
      <c r="L351" s="38"/>
      <c r="M351" s="38" t="str">
        <f t="shared" si="29"/>
        <v/>
      </c>
      <c r="N351" s="47"/>
      <c r="O351" s="57" t="str">
        <f t="shared" si="27"/>
        <v>Năm</v>
      </c>
      <c r="P351" s="20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2">
        <v>66268.0</v>
      </c>
      <c r="B352" s="42" t="s">
        <v>76</v>
      </c>
      <c r="C352" s="42" t="s">
        <v>67</v>
      </c>
      <c r="D352" s="43">
        <v>46255.0</v>
      </c>
      <c r="E352" s="42" t="s">
        <v>116</v>
      </c>
      <c r="F352" s="44">
        <f>IFERROR(__xludf.DUMMYFUNCTION("MIN(ARRAYFORMULA(TIMEVALUE(SPLIT(E352,"" ""))))"),0.32708333333333334)</f>
        <v>0.3270833333</v>
      </c>
      <c r="G352" s="44">
        <f>IFERROR(__xludf.DUMMYFUNCTION("MAX(ARRAYFORMULA(TIMEVALUE(SPLIT(E352,"" ""))))"),0.8125)</f>
        <v>0.8125</v>
      </c>
      <c r="H352" s="45"/>
      <c r="I352" s="45"/>
      <c r="J352" s="46">
        <f t="shared" si="28"/>
        <v>3</v>
      </c>
      <c r="K352" s="27"/>
      <c r="L352" s="38"/>
      <c r="M352" s="38" t="str">
        <f t="shared" si="29"/>
        <v/>
      </c>
      <c r="N352" s="47"/>
      <c r="O352" s="57" t="str">
        <f t="shared" si="27"/>
        <v>Sáu</v>
      </c>
      <c r="P352" s="20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2">
        <v>66268.0</v>
      </c>
      <c r="B353" s="42" t="s">
        <v>76</v>
      </c>
      <c r="C353" s="42" t="s">
        <v>67</v>
      </c>
      <c r="D353" s="43">
        <v>46256.0</v>
      </c>
      <c r="E353" s="42" t="s">
        <v>309</v>
      </c>
      <c r="F353" s="44">
        <f>IFERROR(__xludf.DUMMYFUNCTION("MIN(ARRAYFORMULA(TIMEVALUE(SPLIT(E353,"" ""))))"),0.32430555555555557)</f>
        <v>0.3243055556</v>
      </c>
      <c r="G353" s="44">
        <f>IFERROR(__xludf.DUMMYFUNCTION("MAX(ARRAYFORMULA(TIMEVALUE(SPLIT(E353,"" ""))))"),0.8125)</f>
        <v>0.8125</v>
      </c>
      <c r="H353" s="45"/>
      <c r="I353" s="45"/>
      <c r="J353" s="46">
        <f t="shared" si="28"/>
        <v>3</v>
      </c>
      <c r="K353" s="27"/>
      <c r="L353" s="51">
        <v>1.0</v>
      </c>
      <c r="M353" s="38" t="str">
        <f t="shared" si="29"/>
        <v/>
      </c>
      <c r="N353" s="47" t="s">
        <v>310</v>
      </c>
      <c r="O353" s="57" t="str">
        <f t="shared" si="27"/>
        <v>Bảy</v>
      </c>
      <c r="P353" s="20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2">
        <v>66268.0</v>
      </c>
      <c r="B354" s="42" t="s">
        <v>76</v>
      </c>
      <c r="C354" s="42" t="s">
        <v>67</v>
      </c>
      <c r="D354" s="43">
        <v>46258.0</v>
      </c>
      <c r="E354" s="42" t="s">
        <v>311</v>
      </c>
      <c r="F354" s="44">
        <f>IFERROR(__xludf.DUMMYFUNCTION("MIN(ARRAYFORMULA(TIMEVALUE(SPLIT(E354,"" ""))))"),0.325)</f>
        <v>0.325</v>
      </c>
      <c r="G354" s="44">
        <f>IFERROR(__xludf.DUMMYFUNCTION("MAX(ARRAYFORMULA(TIMEVALUE(SPLIT(E354,"" ""))))"),0.8131944444444444)</f>
        <v>0.8131944444</v>
      </c>
      <c r="H354" s="45"/>
      <c r="I354" s="45"/>
      <c r="J354" s="46">
        <f t="shared" si="28"/>
        <v>3</v>
      </c>
      <c r="K354" s="27"/>
      <c r="L354" s="38"/>
      <c r="M354" s="38" t="str">
        <f t="shared" si="29"/>
        <v/>
      </c>
      <c r="N354" s="47"/>
      <c r="O354" s="57" t="str">
        <f t="shared" si="27"/>
        <v>Hai</v>
      </c>
      <c r="P354" s="20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2">
        <v>66268.0</v>
      </c>
      <c r="B355" s="42" t="s">
        <v>76</v>
      </c>
      <c r="C355" s="42" t="s">
        <v>67</v>
      </c>
      <c r="D355" s="43">
        <v>46259.0</v>
      </c>
      <c r="E355" s="42" t="s">
        <v>139</v>
      </c>
      <c r="F355" s="44">
        <f>IFERROR(__xludf.DUMMYFUNCTION("MIN(ARRAYFORMULA(TIMEVALUE(SPLIT(E355,"" ""))))"),0.3284722222222222)</f>
        <v>0.3284722222</v>
      </c>
      <c r="G355" s="44">
        <f>IFERROR(__xludf.DUMMYFUNCTION("MAX(ARRAYFORMULA(TIMEVALUE(SPLIT(E355,"" ""))))"),0.8125)</f>
        <v>0.8125</v>
      </c>
      <c r="H355" s="45"/>
      <c r="I355" s="45"/>
      <c r="J355" s="46">
        <f t="shared" si="28"/>
        <v>3</v>
      </c>
      <c r="K355" s="27"/>
      <c r="L355" s="38"/>
      <c r="M355" s="38" t="str">
        <f t="shared" si="29"/>
        <v/>
      </c>
      <c r="N355" s="47"/>
      <c r="O355" s="57" t="str">
        <f t="shared" si="27"/>
        <v>Ba</v>
      </c>
      <c r="P355" s="20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2">
        <v>66268.0</v>
      </c>
      <c r="B356" s="42" t="s">
        <v>76</v>
      </c>
      <c r="C356" s="42" t="s">
        <v>67</v>
      </c>
      <c r="D356" s="43">
        <v>46260.0</v>
      </c>
      <c r="E356" s="42" t="s">
        <v>312</v>
      </c>
      <c r="F356" s="44">
        <f>IFERROR(__xludf.DUMMYFUNCTION("MIN(ARRAYFORMULA(TIMEVALUE(SPLIT(E356,"" ""))))"),0.3215277777777778)</f>
        <v>0.3215277778</v>
      </c>
      <c r="G356" s="44">
        <f>IFERROR(__xludf.DUMMYFUNCTION("MAX(ARRAYFORMULA(TIMEVALUE(SPLIT(E356,"" ""))))"),0.8125)</f>
        <v>0.8125</v>
      </c>
      <c r="H356" s="45"/>
      <c r="I356" s="45"/>
      <c r="J356" s="46">
        <f t="shared" si="28"/>
        <v>3</v>
      </c>
      <c r="K356" s="27"/>
      <c r="L356" s="38"/>
      <c r="M356" s="38" t="str">
        <f t="shared" si="29"/>
        <v/>
      </c>
      <c r="N356" s="47"/>
      <c r="O356" s="57" t="str">
        <f t="shared" si="27"/>
        <v>Tư</v>
      </c>
      <c r="P356" s="20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2">
        <v>66268.0</v>
      </c>
      <c r="B357" s="42" t="s">
        <v>76</v>
      </c>
      <c r="C357" s="42" t="s">
        <v>67</v>
      </c>
      <c r="D357" s="43">
        <v>46261.0</v>
      </c>
      <c r="E357" s="42" t="s">
        <v>106</v>
      </c>
      <c r="F357" s="44">
        <f>IFERROR(__xludf.DUMMYFUNCTION("MIN(ARRAYFORMULA(TIMEVALUE(SPLIT(E357,"" ""))))"),0.32222222222222224)</f>
        <v>0.3222222222</v>
      </c>
      <c r="G357" s="44">
        <f>IFERROR(__xludf.DUMMYFUNCTION("MAX(ARRAYFORMULA(TIMEVALUE(SPLIT(E357,"" ""))))"),0.8125)</f>
        <v>0.8125</v>
      </c>
      <c r="H357" s="45"/>
      <c r="I357" s="45"/>
      <c r="J357" s="46">
        <f t="shared" si="28"/>
        <v>3</v>
      </c>
      <c r="K357" s="27"/>
      <c r="L357" s="38"/>
      <c r="M357" s="38" t="str">
        <f t="shared" si="29"/>
        <v/>
      </c>
      <c r="N357" s="47"/>
      <c r="O357" s="57" t="str">
        <f t="shared" si="27"/>
        <v>Năm</v>
      </c>
      <c r="P357" s="20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2">
        <v>66268.0</v>
      </c>
      <c r="B358" s="42" t="s">
        <v>76</v>
      </c>
      <c r="C358" s="42" t="s">
        <v>67</v>
      </c>
      <c r="D358" s="43">
        <v>46263.0</v>
      </c>
      <c r="E358" s="42" t="s">
        <v>313</v>
      </c>
      <c r="F358" s="44">
        <f>IFERROR(__xludf.DUMMYFUNCTION("MIN(ARRAYFORMULA(TIMEVALUE(SPLIT(E358,"" ""))))"),0.3173611111111111)</f>
        <v>0.3173611111</v>
      </c>
      <c r="G358" s="44">
        <f>IFERROR(__xludf.DUMMYFUNCTION("MAX(ARRAYFORMULA(TIMEVALUE(SPLIT(E358,"" ""))))"),0.8125)</f>
        <v>0.8125</v>
      </c>
      <c r="H358" s="45"/>
      <c r="I358" s="45"/>
      <c r="J358" s="46">
        <f t="shared" si="28"/>
        <v>3</v>
      </c>
      <c r="K358" s="27"/>
      <c r="L358" s="38"/>
      <c r="M358" s="38" t="str">
        <f t="shared" si="29"/>
        <v/>
      </c>
      <c r="N358" s="47"/>
      <c r="O358" s="57" t="str">
        <f t="shared" si="27"/>
        <v>Bảy</v>
      </c>
      <c r="P358" s="20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2">
        <v>66268.0</v>
      </c>
      <c r="B359" s="42" t="s">
        <v>76</v>
      </c>
      <c r="C359" s="42" t="s">
        <v>67</v>
      </c>
      <c r="D359" s="43">
        <v>46264.0</v>
      </c>
      <c r="E359" s="42" t="s">
        <v>314</v>
      </c>
      <c r="F359" s="44">
        <f>IFERROR(__xludf.DUMMYFUNCTION("MIN(ARRAYFORMULA(TIMEVALUE(SPLIT(E359,"" ""))))"),0.32013888888888886)</f>
        <v>0.3201388889</v>
      </c>
      <c r="G359" s="44">
        <f>IFERROR(__xludf.DUMMYFUNCTION("MAX(ARRAYFORMULA(TIMEVALUE(SPLIT(E359,"" ""))))"),0.75)</f>
        <v>0.75</v>
      </c>
      <c r="H359" s="45"/>
      <c r="I359" s="45"/>
      <c r="J359" s="46">
        <f t="shared" si="28"/>
        <v>2</v>
      </c>
      <c r="K359" s="27"/>
      <c r="L359" s="38"/>
      <c r="M359" s="38">
        <f t="shared" si="29"/>
        <v>1</v>
      </c>
      <c r="N359" s="47"/>
      <c r="O359" s="57" t="str">
        <f t="shared" si="27"/>
        <v>CN</v>
      </c>
      <c r="P359" s="20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2">
        <v>66268.0</v>
      </c>
      <c r="B360" s="42" t="s">
        <v>76</v>
      </c>
      <c r="C360" s="42" t="s">
        <v>67</v>
      </c>
      <c r="D360" s="43">
        <v>46265.0</v>
      </c>
      <c r="E360" s="42" t="s">
        <v>205</v>
      </c>
      <c r="F360" s="44">
        <f>IFERROR(__xludf.DUMMYFUNCTION("MIN(ARRAYFORMULA(TIMEVALUE(SPLIT(E360,"" ""))))"),0.31875)</f>
        <v>0.31875</v>
      </c>
      <c r="G360" s="44">
        <f>IFERROR(__xludf.DUMMYFUNCTION("MAX(ARRAYFORMULA(TIMEVALUE(SPLIT(E360,"" ""))))"),0.8125)</f>
        <v>0.8125</v>
      </c>
      <c r="H360" s="45"/>
      <c r="I360" s="45"/>
      <c r="J360" s="46">
        <f t="shared" si="28"/>
        <v>3</v>
      </c>
      <c r="K360" s="27"/>
      <c r="L360" s="38"/>
      <c r="M360" s="38" t="str">
        <f t="shared" si="29"/>
        <v/>
      </c>
      <c r="N360" s="47"/>
      <c r="O360" s="57" t="str">
        <f t="shared" si="27"/>
        <v>Hai</v>
      </c>
      <c r="P360" s="20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2">
        <v>99237.0</v>
      </c>
      <c r="B361" s="42" t="s">
        <v>26</v>
      </c>
      <c r="C361" s="42" t="s">
        <v>23</v>
      </c>
      <c r="D361" s="43">
        <v>46235.0</v>
      </c>
      <c r="E361" s="42" t="s">
        <v>73</v>
      </c>
      <c r="F361" s="44">
        <f>IFERROR(__xludf.DUMMYFUNCTION("MIN(ARRAYFORMULA(TIMEVALUE(SPLIT(E361,"" ""))))"),0.3333333333333333)</f>
        <v>0.3333333333</v>
      </c>
      <c r="G361" s="44">
        <f>IFERROR(__xludf.DUMMYFUNCTION("MAX(ARRAYFORMULA(TIMEVALUE(SPLIT(E361,"" ""))))"),0.8125)</f>
        <v>0.8125</v>
      </c>
      <c r="H361" s="45"/>
      <c r="I361" s="45"/>
      <c r="J361" s="46">
        <f t="shared" si="28"/>
        <v>3</v>
      </c>
      <c r="K361" s="27"/>
      <c r="L361" s="38"/>
      <c r="M361" s="38" t="str">
        <f t="shared" si="29"/>
        <v/>
      </c>
      <c r="N361" s="47"/>
      <c r="O361" s="57" t="str">
        <f t="shared" si="27"/>
        <v>Bảy</v>
      </c>
      <c r="P361" s="20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2">
        <v>99237.0</v>
      </c>
      <c r="B362" s="42" t="s">
        <v>26</v>
      </c>
      <c r="C362" s="42" t="s">
        <v>23</v>
      </c>
      <c r="D362" s="43">
        <v>46238.0</v>
      </c>
      <c r="E362" s="42" t="s">
        <v>231</v>
      </c>
      <c r="F362" s="44">
        <f>IFERROR(__xludf.DUMMYFUNCTION("MIN(ARRAYFORMULA(TIMEVALUE(SPLIT(E362,"" ""))))"),0.3326388888888889)</f>
        <v>0.3326388889</v>
      </c>
      <c r="G362" s="44">
        <f>IFERROR(__xludf.DUMMYFUNCTION("MAX(ARRAYFORMULA(TIMEVALUE(SPLIT(E362,"" ""))))"),0.8138888888888889)</f>
        <v>0.8138888889</v>
      </c>
      <c r="H362" s="45"/>
      <c r="I362" s="45"/>
      <c r="J362" s="46">
        <f t="shared" si="28"/>
        <v>3</v>
      </c>
      <c r="K362" s="27"/>
      <c r="L362" s="38"/>
      <c r="M362" s="38" t="str">
        <f t="shared" si="29"/>
        <v/>
      </c>
      <c r="N362" s="47"/>
      <c r="O362" s="57" t="str">
        <f t="shared" si="27"/>
        <v>Ba</v>
      </c>
      <c r="P362" s="20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2">
        <v>99237.0</v>
      </c>
      <c r="B363" s="42" t="s">
        <v>26</v>
      </c>
      <c r="C363" s="42" t="s">
        <v>23</v>
      </c>
      <c r="D363" s="43">
        <v>46239.0</v>
      </c>
      <c r="E363" s="42" t="s">
        <v>315</v>
      </c>
      <c r="F363" s="44">
        <f>IFERROR(__xludf.DUMMYFUNCTION("MIN(ARRAYFORMULA(TIMEVALUE(SPLIT(E363,"" ""))))"),0.3326388888888889)</f>
        <v>0.3326388889</v>
      </c>
      <c r="G363" s="44">
        <f>IFERROR(__xludf.DUMMYFUNCTION("MAX(ARRAYFORMULA(TIMEVALUE(SPLIT(E363,"" ""))))"),0.8131944444444444)</f>
        <v>0.8131944444</v>
      </c>
      <c r="H363" s="45"/>
      <c r="I363" s="45"/>
      <c r="J363" s="46">
        <f t="shared" si="28"/>
        <v>3</v>
      </c>
      <c r="K363" s="27"/>
      <c r="L363" s="38"/>
      <c r="M363" s="38" t="str">
        <f t="shared" si="29"/>
        <v/>
      </c>
      <c r="N363" s="47"/>
      <c r="O363" s="57" t="str">
        <f t="shared" si="27"/>
        <v>Tư</v>
      </c>
      <c r="P363" s="20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2">
        <v>99237.0</v>
      </c>
      <c r="B364" s="42" t="s">
        <v>26</v>
      </c>
      <c r="C364" s="42" t="s">
        <v>23</v>
      </c>
      <c r="D364" s="43">
        <v>46240.0</v>
      </c>
      <c r="E364" s="42" t="s">
        <v>316</v>
      </c>
      <c r="F364" s="44">
        <f>IFERROR(__xludf.DUMMYFUNCTION("MIN(ARRAYFORMULA(TIMEVALUE(SPLIT(E364,"" ""))))"),0.3368055555555556)</f>
        <v>0.3368055556</v>
      </c>
      <c r="G364" s="44">
        <f>IFERROR(__xludf.DUMMYFUNCTION("MAX(ARRAYFORMULA(TIMEVALUE(SPLIT(E364,"" ""))))"),0.8131944444444444)</f>
        <v>0.8131944444</v>
      </c>
      <c r="H364" s="42">
        <v>5.0</v>
      </c>
      <c r="I364" s="45"/>
      <c r="J364" s="46">
        <f t="shared" si="28"/>
        <v>3</v>
      </c>
      <c r="K364" s="27"/>
      <c r="L364" s="38"/>
      <c r="M364" s="38" t="str">
        <f t="shared" si="29"/>
        <v/>
      </c>
      <c r="N364" s="47"/>
      <c r="O364" s="57" t="str">
        <f t="shared" si="27"/>
        <v>Năm</v>
      </c>
      <c r="P364" s="20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2">
        <v>99237.0</v>
      </c>
      <c r="B365" s="42" t="s">
        <v>26</v>
      </c>
      <c r="C365" s="42" t="s">
        <v>23</v>
      </c>
      <c r="D365" s="43">
        <v>46241.0</v>
      </c>
      <c r="E365" s="42" t="s">
        <v>59</v>
      </c>
      <c r="F365" s="44">
        <f>IFERROR(__xludf.DUMMYFUNCTION("MIN(ARRAYFORMULA(TIMEVALUE(SPLIT(E365,"" ""))))"),0.33402777777777776)</f>
        <v>0.3340277778</v>
      </c>
      <c r="G365" s="44">
        <f>IFERROR(__xludf.DUMMYFUNCTION("MAX(ARRAYFORMULA(TIMEVALUE(SPLIT(E365,"" ""))))"),0.8125)</f>
        <v>0.8125</v>
      </c>
      <c r="H365" s="42">
        <v>1.0</v>
      </c>
      <c r="I365" s="45"/>
      <c r="J365" s="46">
        <f t="shared" si="28"/>
        <v>3</v>
      </c>
      <c r="K365" s="27"/>
      <c r="L365" s="38"/>
      <c r="M365" s="38" t="str">
        <f t="shared" si="29"/>
        <v/>
      </c>
      <c r="N365" s="47"/>
      <c r="O365" s="57" t="str">
        <f t="shared" si="27"/>
        <v>Sáu</v>
      </c>
      <c r="P365" s="20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2">
        <v>99237.0</v>
      </c>
      <c r="B366" s="42" t="s">
        <v>26</v>
      </c>
      <c r="C366" s="42" t="s">
        <v>23</v>
      </c>
      <c r="D366" s="43">
        <v>46242.0</v>
      </c>
      <c r="E366" s="42" t="s">
        <v>130</v>
      </c>
      <c r="F366" s="44">
        <f>IFERROR(__xludf.DUMMYFUNCTION("MIN(ARRAYFORMULA(TIMEVALUE(SPLIT(E366,"" ""))))"),0.3326388888888889)</f>
        <v>0.3326388889</v>
      </c>
      <c r="G366" s="44">
        <f>IFERROR(__xludf.DUMMYFUNCTION("MAX(ARRAYFORMULA(TIMEVALUE(SPLIT(E366,"" ""))))"),0.8131944444444444)</f>
        <v>0.8131944444</v>
      </c>
      <c r="H366" s="45"/>
      <c r="I366" s="45"/>
      <c r="J366" s="46">
        <f t="shared" si="28"/>
        <v>3</v>
      </c>
      <c r="K366" s="27"/>
      <c r="L366" s="38"/>
      <c r="M366" s="38" t="str">
        <f t="shared" si="29"/>
        <v/>
      </c>
      <c r="N366" s="47"/>
      <c r="O366" s="57" t="str">
        <f t="shared" si="27"/>
        <v>Bảy</v>
      </c>
      <c r="P366" s="20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2">
        <v>99237.0</v>
      </c>
      <c r="B367" s="42" t="s">
        <v>26</v>
      </c>
      <c r="C367" s="42" t="s">
        <v>23</v>
      </c>
      <c r="D367" s="43">
        <v>46243.0</v>
      </c>
      <c r="E367" s="42" t="s">
        <v>317</v>
      </c>
      <c r="F367" s="44">
        <f>IFERROR(__xludf.DUMMYFUNCTION("MIN(ARRAYFORMULA(TIMEVALUE(SPLIT(E367,"" ""))))"),0.3326388888888889)</f>
        <v>0.3326388889</v>
      </c>
      <c r="G367" s="44">
        <f>IFERROR(__xludf.DUMMYFUNCTION("MAX(ARRAYFORMULA(TIMEVALUE(SPLIT(E367,"" ""))))"),0.75)</f>
        <v>0.75</v>
      </c>
      <c r="H367" s="45"/>
      <c r="I367" s="45"/>
      <c r="J367" s="46">
        <f t="shared" si="28"/>
        <v>2</v>
      </c>
      <c r="K367" s="27"/>
      <c r="L367" s="38"/>
      <c r="M367" s="38">
        <f t="shared" si="29"/>
        <v>1</v>
      </c>
      <c r="N367" s="47"/>
      <c r="O367" s="57" t="str">
        <f t="shared" si="27"/>
        <v>CN</v>
      </c>
      <c r="P367" s="20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2">
        <v>99237.0</v>
      </c>
      <c r="B368" s="42" t="s">
        <v>26</v>
      </c>
      <c r="C368" s="42" t="s">
        <v>23</v>
      </c>
      <c r="D368" s="43">
        <v>46248.0</v>
      </c>
      <c r="E368" s="42" t="s">
        <v>122</v>
      </c>
      <c r="F368" s="44">
        <f>IFERROR(__xludf.DUMMYFUNCTION("MIN(ARRAYFORMULA(TIMEVALUE(SPLIT(E368,"" ""))))"),0.33402777777777776)</f>
        <v>0.3340277778</v>
      </c>
      <c r="G368" s="44">
        <f>IFERROR(__xludf.DUMMYFUNCTION("MAX(ARRAYFORMULA(TIMEVALUE(SPLIT(E368,"" ""))))"),0.8131944444444444)</f>
        <v>0.8131944444</v>
      </c>
      <c r="H368" s="42">
        <v>1.0</v>
      </c>
      <c r="I368" s="45"/>
      <c r="J368" s="46">
        <f t="shared" si="28"/>
        <v>3</v>
      </c>
      <c r="K368" s="27"/>
      <c r="L368" s="38"/>
      <c r="M368" s="38" t="str">
        <f t="shared" si="29"/>
        <v/>
      </c>
      <c r="N368" s="47"/>
      <c r="O368" s="57" t="str">
        <f t="shared" si="27"/>
        <v>Sáu</v>
      </c>
      <c r="P368" s="20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2">
        <v>99237.0</v>
      </c>
      <c r="B369" s="42" t="s">
        <v>26</v>
      </c>
      <c r="C369" s="42" t="s">
        <v>23</v>
      </c>
      <c r="D369" s="43">
        <v>46249.0</v>
      </c>
      <c r="E369" s="42" t="s">
        <v>318</v>
      </c>
      <c r="F369" s="44">
        <f>IFERROR(__xludf.DUMMYFUNCTION("MIN(ARRAYFORMULA(TIMEVALUE(SPLIT(E369,"" ""))))"),0.33194444444444443)</f>
        <v>0.3319444444</v>
      </c>
      <c r="G369" s="44">
        <f>IFERROR(__xludf.DUMMYFUNCTION("MAX(ARRAYFORMULA(TIMEVALUE(SPLIT(E369,"" ""))))"),0.8131944444444444)</f>
        <v>0.8131944444</v>
      </c>
      <c r="H369" s="45"/>
      <c r="I369" s="45"/>
      <c r="J369" s="46">
        <f t="shared" si="28"/>
        <v>3</v>
      </c>
      <c r="K369" s="27"/>
      <c r="L369" s="38"/>
      <c r="M369" s="38" t="str">
        <f t="shared" si="29"/>
        <v/>
      </c>
      <c r="N369" s="47"/>
      <c r="O369" s="48" t="str">
        <f t="shared" si="27"/>
        <v>Bảy</v>
      </c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42">
        <v>99237.0</v>
      </c>
      <c r="B370" s="42" t="s">
        <v>26</v>
      </c>
      <c r="C370" s="42" t="s">
        <v>23</v>
      </c>
      <c r="D370" s="43">
        <v>46252.0</v>
      </c>
      <c r="E370" s="42" t="s">
        <v>73</v>
      </c>
      <c r="F370" s="44">
        <f>IFERROR(__xludf.DUMMYFUNCTION("MIN(ARRAYFORMULA(TIMEVALUE(SPLIT(E370,"" ""))))"),0.3333333333333333)</f>
        <v>0.3333333333</v>
      </c>
      <c r="G370" s="44">
        <f>IFERROR(__xludf.DUMMYFUNCTION("MAX(ARRAYFORMULA(TIMEVALUE(SPLIT(E370,"" ""))))"),0.8125)</f>
        <v>0.8125</v>
      </c>
      <c r="H370" s="45"/>
      <c r="I370" s="45"/>
      <c r="J370" s="46">
        <f t="shared" si="28"/>
        <v>3</v>
      </c>
      <c r="K370" s="27"/>
      <c r="L370" s="38"/>
      <c r="M370" s="38" t="str">
        <f t="shared" si="29"/>
        <v/>
      </c>
      <c r="N370" s="47"/>
      <c r="O370" s="48" t="str">
        <f t="shared" si="27"/>
        <v>Ba</v>
      </c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42">
        <v>99237.0</v>
      </c>
      <c r="B371" s="42" t="s">
        <v>26</v>
      </c>
      <c r="C371" s="42" t="s">
        <v>23</v>
      </c>
      <c r="D371" s="43">
        <v>46253.0</v>
      </c>
      <c r="E371" s="42" t="s">
        <v>73</v>
      </c>
      <c r="F371" s="44">
        <f>IFERROR(__xludf.DUMMYFUNCTION("MIN(ARRAYFORMULA(TIMEVALUE(SPLIT(E371,"" ""))))"),0.3333333333333333)</f>
        <v>0.3333333333</v>
      </c>
      <c r="G371" s="44">
        <f>IFERROR(__xludf.DUMMYFUNCTION("MAX(ARRAYFORMULA(TIMEVALUE(SPLIT(E371,"" ""))))"),0.8125)</f>
        <v>0.8125</v>
      </c>
      <c r="H371" s="45"/>
      <c r="I371" s="45"/>
      <c r="J371" s="46">
        <f t="shared" si="28"/>
        <v>3</v>
      </c>
      <c r="K371" s="27"/>
      <c r="L371" s="38"/>
      <c r="M371" s="38" t="str">
        <f t="shared" si="29"/>
        <v/>
      </c>
      <c r="N371" s="47"/>
      <c r="O371" s="48" t="str">
        <f t="shared" si="27"/>
        <v>Tư</v>
      </c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42">
        <v>99237.0</v>
      </c>
      <c r="B372" s="42" t="s">
        <v>26</v>
      </c>
      <c r="C372" s="42" t="s">
        <v>23</v>
      </c>
      <c r="D372" s="43">
        <v>46254.0</v>
      </c>
      <c r="E372" s="42" t="s">
        <v>162</v>
      </c>
      <c r="F372" s="44">
        <f>IFERROR(__xludf.DUMMYFUNCTION("MIN(ARRAYFORMULA(TIMEVALUE(SPLIT(E372,"" ""))))"),0.3333333333333333)</f>
        <v>0.3333333333</v>
      </c>
      <c r="G372" s="44">
        <f>IFERROR(__xludf.DUMMYFUNCTION("MAX(ARRAYFORMULA(TIMEVALUE(SPLIT(E372,"" ""))))"),0.8131944444444444)</f>
        <v>0.8131944444</v>
      </c>
      <c r="H372" s="45"/>
      <c r="I372" s="45"/>
      <c r="J372" s="46">
        <f t="shared" si="28"/>
        <v>3</v>
      </c>
      <c r="K372" s="27"/>
      <c r="L372" s="38"/>
      <c r="M372" s="38" t="str">
        <f t="shared" si="29"/>
        <v/>
      </c>
      <c r="N372" s="47"/>
      <c r="O372" s="48" t="str">
        <f t="shared" si="27"/>
        <v>Năm</v>
      </c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42">
        <v>99237.0</v>
      </c>
      <c r="B373" s="42" t="s">
        <v>26</v>
      </c>
      <c r="C373" s="42" t="s">
        <v>23</v>
      </c>
      <c r="D373" s="43">
        <v>46255.0</v>
      </c>
      <c r="E373" s="42" t="s">
        <v>122</v>
      </c>
      <c r="F373" s="44">
        <f>IFERROR(__xludf.DUMMYFUNCTION("MIN(ARRAYFORMULA(TIMEVALUE(SPLIT(E373,"" ""))))"),0.33402777777777776)</f>
        <v>0.3340277778</v>
      </c>
      <c r="G373" s="44">
        <f>IFERROR(__xludf.DUMMYFUNCTION("MAX(ARRAYFORMULA(TIMEVALUE(SPLIT(E373,"" ""))))"),0.8131944444444444)</f>
        <v>0.8131944444</v>
      </c>
      <c r="H373" s="45"/>
      <c r="I373" s="45"/>
      <c r="J373" s="46">
        <f t="shared" si="28"/>
        <v>3</v>
      </c>
      <c r="K373" s="27"/>
      <c r="L373" s="38"/>
      <c r="M373" s="38" t="str">
        <f t="shared" si="29"/>
        <v/>
      </c>
      <c r="N373" s="47"/>
      <c r="O373" s="48" t="str">
        <f t="shared" si="27"/>
        <v>Sáu</v>
      </c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42">
        <v>99237.0</v>
      </c>
      <c r="B374" s="42" t="s">
        <v>26</v>
      </c>
      <c r="C374" s="42" t="s">
        <v>23</v>
      </c>
      <c r="D374" s="43">
        <v>46256.0</v>
      </c>
      <c r="E374" s="42" t="s">
        <v>319</v>
      </c>
      <c r="F374" s="44">
        <f>IFERROR(__xludf.DUMMYFUNCTION("MIN(ARRAYFORMULA(TIMEVALUE(SPLIT(E374,"" ""))))"),0.3333333333333333)</f>
        <v>0.3333333333</v>
      </c>
      <c r="G374" s="44">
        <f>IFERROR(__xludf.DUMMYFUNCTION("MAX(ARRAYFORMULA(TIMEVALUE(SPLIT(E374,"" ""))))"),0.8125)</f>
        <v>0.8125</v>
      </c>
      <c r="H374" s="45"/>
      <c r="I374" s="45"/>
      <c r="J374" s="46">
        <f t="shared" si="28"/>
        <v>3</v>
      </c>
      <c r="K374" s="27"/>
      <c r="L374" s="38"/>
      <c r="M374" s="38" t="str">
        <f t="shared" si="29"/>
        <v/>
      </c>
      <c r="N374" s="47"/>
      <c r="O374" s="48" t="str">
        <f t="shared" si="27"/>
        <v>Bảy</v>
      </c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42">
        <v>99237.0</v>
      </c>
      <c r="B375" s="42" t="s">
        <v>26</v>
      </c>
      <c r="C375" s="42" t="s">
        <v>23</v>
      </c>
      <c r="D375" s="43">
        <v>46257.0</v>
      </c>
      <c r="E375" s="42" t="s">
        <v>320</v>
      </c>
      <c r="F375" s="44">
        <f>IFERROR(__xludf.DUMMYFUNCTION("MIN(ARRAYFORMULA(TIMEVALUE(SPLIT(E375,"" ""))))"),0.3347222222222222)</f>
        <v>0.3347222222</v>
      </c>
      <c r="G375" s="44">
        <f>IFERROR(__xludf.DUMMYFUNCTION("MAX(ARRAYFORMULA(TIMEVALUE(SPLIT(E375,"" ""))))"),0.5)</f>
        <v>0.5</v>
      </c>
      <c r="H375" s="45"/>
      <c r="I375" s="45"/>
      <c r="J375" s="46">
        <f t="shared" si="28"/>
        <v>1</v>
      </c>
      <c r="K375" s="27"/>
      <c r="L375" s="51">
        <v>1.0</v>
      </c>
      <c r="M375" s="38" t="str">
        <f t="shared" si="29"/>
        <v/>
      </c>
      <c r="N375" s="47"/>
      <c r="O375" s="48" t="str">
        <f t="shared" si="27"/>
        <v>CN</v>
      </c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42">
        <v>99237.0</v>
      </c>
      <c r="B376" s="42" t="s">
        <v>26</v>
      </c>
      <c r="C376" s="42" t="s">
        <v>23</v>
      </c>
      <c r="D376" s="43">
        <v>46259.0</v>
      </c>
      <c r="E376" s="42" t="s">
        <v>79</v>
      </c>
      <c r="F376" s="44">
        <f>IFERROR(__xludf.DUMMYFUNCTION("MIN(ARRAYFORMULA(TIMEVALUE(SPLIT(E376,"" ""))))"),0.3326388888888889)</f>
        <v>0.3326388889</v>
      </c>
      <c r="G376" s="44">
        <f>IFERROR(__xludf.DUMMYFUNCTION("MAX(ARRAYFORMULA(TIMEVALUE(SPLIT(E376,"" ""))))"),0.8125)</f>
        <v>0.8125</v>
      </c>
      <c r="H376" s="45"/>
      <c r="I376" s="45"/>
      <c r="J376" s="46">
        <f t="shared" si="28"/>
        <v>3</v>
      </c>
      <c r="K376" s="27"/>
      <c r="L376" s="38"/>
      <c r="M376" s="38" t="str">
        <f t="shared" si="29"/>
        <v/>
      </c>
      <c r="N376" s="47"/>
      <c r="O376" s="48" t="str">
        <f t="shared" si="27"/>
        <v>Ba</v>
      </c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42">
        <v>99237.0</v>
      </c>
      <c r="B377" s="42" t="s">
        <v>26</v>
      </c>
      <c r="C377" s="42" t="s">
        <v>23</v>
      </c>
      <c r="D377" s="43">
        <v>46260.0</v>
      </c>
      <c r="E377" s="42" t="s">
        <v>79</v>
      </c>
      <c r="F377" s="44">
        <f>IFERROR(__xludf.DUMMYFUNCTION("MIN(ARRAYFORMULA(TIMEVALUE(SPLIT(E377,"" ""))))"),0.3326388888888889)</f>
        <v>0.3326388889</v>
      </c>
      <c r="G377" s="44">
        <f>IFERROR(__xludf.DUMMYFUNCTION("MAX(ARRAYFORMULA(TIMEVALUE(SPLIT(E377,"" ""))))"),0.8125)</f>
        <v>0.8125</v>
      </c>
      <c r="H377" s="45"/>
      <c r="I377" s="45"/>
      <c r="J377" s="46">
        <f t="shared" si="28"/>
        <v>3</v>
      </c>
      <c r="K377" s="27"/>
      <c r="L377" s="38"/>
      <c r="M377" s="38" t="str">
        <f t="shared" si="29"/>
        <v/>
      </c>
      <c r="N377" s="47"/>
      <c r="O377" s="48" t="str">
        <f t="shared" si="27"/>
        <v>Tư</v>
      </c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42">
        <v>99237.0</v>
      </c>
      <c r="B378" s="42" t="s">
        <v>26</v>
      </c>
      <c r="C378" s="42" t="s">
        <v>23</v>
      </c>
      <c r="D378" s="43">
        <v>46261.0</v>
      </c>
      <c r="E378" s="42" t="s">
        <v>70</v>
      </c>
      <c r="F378" s="44">
        <f>IFERROR(__xludf.DUMMYFUNCTION("MIN(ARRAYFORMULA(TIMEVALUE(SPLIT(E378,"" ""))))"),0.33194444444444443)</f>
        <v>0.3319444444</v>
      </c>
      <c r="G378" s="44">
        <f>IFERROR(__xludf.DUMMYFUNCTION("MAX(ARRAYFORMULA(TIMEVALUE(SPLIT(E378,"" ""))))"),0.8125)</f>
        <v>0.8125</v>
      </c>
      <c r="H378" s="45"/>
      <c r="I378" s="45"/>
      <c r="J378" s="46">
        <f t="shared" si="28"/>
        <v>3</v>
      </c>
      <c r="K378" s="27"/>
      <c r="L378" s="38"/>
      <c r="M378" s="38" t="str">
        <f t="shared" si="29"/>
        <v/>
      </c>
      <c r="N378" s="47"/>
      <c r="O378" s="48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42">
        <v>99237.0</v>
      </c>
      <c r="B379" s="42" t="s">
        <v>26</v>
      </c>
      <c r="C379" s="42" t="s">
        <v>23</v>
      </c>
      <c r="D379" s="43">
        <v>46262.0</v>
      </c>
      <c r="E379" s="42" t="s">
        <v>321</v>
      </c>
      <c r="F379" s="44">
        <f>IFERROR(__xludf.DUMMYFUNCTION("MIN(ARRAYFORMULA(TIMEVALUE(SPLIT(E379,"" ""))))"),0.3402777777777778)</f>
        <v>0.3402777778</v>
      </c>
      <c r="G379" s="44">
        <f>IFERROR(__xludf.DUMMYFUNCTION("MAX(ARRAYFORMULA(TIMEVALUE(SPLIT(E379,"" ""))))"),0.8125)</f>
        <v>0.8125</v>
      </c>
      <c r="H379" s="42">
        <v>10.0</v>
      </c>
      <c r="I379" s="45"/>
      <c r="J379" s="46">
        <f t="shared" si="28"/>
        <v>3</v>
      </c>
      <c r="K379" s="27"/>
      <c r="L379" s="38"/>
      <c r="M379" s="38" t="str">
        <f t="shared" si="29"/>
        <v/>
      </c>
      <c r="N379" s="47"/>
      <c r="O379" s="48" t="str">
        <f t="shared" ref="O379:O645" si="30">CHOOSE(WEEKDAY(D379,2),"Hai","Ba","Tư","Năm","Sáu","Bảy","CN")</f>
        <v>Sáu</v>
      </c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42">
        <v>99237.0</v>
      </c>
      <c r="B380" s="42" t="s">
        <v>26</v>
      </c>
      <c r="C380" s="42" t="s">
        <v>23</v>
      </c>
      <c r="D380" s="43">
        <v>46263.0</v>
      </c>
      <c r="E380" s="42" t="s">
        <v>73</v>
      </c>
      <c r="F380" s="44">
        <f>IFERROR(__xludf.DUMMYFUNCTION("MIN(ARRAYFORMULA(TIMEVALUE(SPLIT(E380,"" ""))))"),0.3333333333333333)</f>
        <v>0.3333333333</v>
      </c>
      <c r="G380" s="44">
        <f>IFERROR(__xludf.DUMMYFUNCTION("MAX(ARRAYFORMULA(TIMEVALUE(SPLIT(E380,"" ""))))"),0.8125)</f>
        <v>0.8125</v>
      </c>
      <c r="H380" s="45"/>
      <c r="I380" s="45"/>
      <c r="J380" s="46">
        <f t="shared" si="28"/>
        <v>3</v>
      </c>
      <c r="K380" s="27"/>
      <c r="L380" s="38"/>
      <c r="M380" s="38" t="str">
        <f t="shared" si="29"/>
        <v/>
      </c>
      <c r="N380" s="47"/>
      <c r="O380" s="48" t="str">
        <f t="shared" si="30"/>
        <v>Bảy</v>
      </c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42">
        <v>65943.0</v>
      </c>
      <c r="B381" s="42" t="s">
        <v>103</v>
      </c>
      <c r="C381" s="42" t="s">
        <v>97</v>
      </c>
      <c r="D381" s="43">
        <v>46235.0</v>
      </c>
      <c r="E381" s="42" t="s">
        <v>322</v>
      </c>
      <c r="F381" s="44">
        <f>IFERROR(__xludf.DUMMYFUNCTION("MIN(ARRAYFORMULA(TIMEVALUE(SPLIT(E381,"" ""))))"),0.3145833333333333)</f>
        <v>0.3145833333</v>
      </c>
      <c r="G381" s="44">
        <f>IFERROR(__xludf.DUMMYFUNCTION("MAX(ARRAYFORMULA(TIMEVALUE(SPLIT(E381,"" ""))))"),0.7326388888888888)</f>
        <v>0.7326388889</v>
      </c>
      <c r="H381" s="45"/>
      <c r="I381" s="45"/>
      <c r="J381" s="46">
        <f t="shared" si="28"/>
        <v>2</v>
      </c>
      <c r="K381" s="27"/>
      <c r="L381" s="38"/>
      <c r="M381" s="38" t="str">
        <f t="shared" si="29"/>
        <v/>
      </c>
      <c r="N381" s="47"/>
      <c r="O381" s="48" t="str">
        <f t="shared" si="30"/>
        <v>Bảy</v>
      </c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42">
        <v>65943.0</v>
      </c>
      <c r="B382" s="42" t="s">
        <v>103</v>
      </c>
      <c r="C382" s="42" t="s">
        <v>97</v>
      </c>
      <c r="D382" s="43">
        <v>46237.0</v>
      </c>
      <c r="E382" s="42" t="s">
        <v>323</v>
      </c>
      <c r="F382" s="44">
        <f>IFERROR(__xludf.DUMMYFUNCTION("MIN(ARRAYFORMULA(TIMEVALUE(SPLIT(E382,"" ""))))"),0.5472222222222223)</f>
        <v>0.5472222222</v>
      </c>
      <c r="G382" s="44">
        <f>IFERROR(__xludf.DUMMYFUNCTION("MAX(ARRAYFORMULA(TIMEVALUE(SPLIT(E382,"" ""))))"),0.8131944444444444)</f>
        <v>0.8131944444</v>
      </c>
      <c r="H382" s="45"/>
      <c r="I382" s="45"/>
      <c r="J382" s="46">
        <f t="shared" si="28"/>
        <v>2</v>
      </c>
      <c r="K382" s="27"/>
      <c r="L382" s="38"/>
      <c r="M382" s="38" t="str">
        <f t="shared" si="29"/>
        <v/>
      </c>
      <c r="N382" s="47"/>
      <c r="O382" s="48" t="str">
        <f t="shared" si="30"/>
        <v>Hai</v>
      </c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42">
        <v>65943.0</v>
      </c>
      <c r="B383" s="42" t="s">
        <v>103</v>
      </c>
      <c r="C383" s="42" t="s">
        <v>97</v>
      </c>
      <c r="D383" s="43">
        <v>46238.0</v>
      </c>
      <c r="E383" s="42" t="s">
        <v>324</v>
      </c>
      <c r="F383" s="44">
        <f>IFERROR(__xludf.DUMMYFUNCTION("MIN(ARRAYFORMULA(TIMEVALUE(SPLIT(E383,"" ""))))"),0.3194444444444444)</f>
        <v>0.3194444444</v>
      </c>
      <c r="G383" s="44">
        <f>IFERROR(__xludf.DUMMYFUNCTION("MAX(ARRAYFORMULA(TIMEVALUE(SPLIT(E383,"" ""))))"),0.8159722222222222)</f>
        <v>0.8159722222</v>
      </c>
      <c r="H383" s="45"/>
      <c r="I383" s="45"/>
      <c r="J383" s="46">
        <f t="shared" si="28"/>
        <v>3</v>
      </c>
      <c r="K383" s="27"/>
      <c r="L383" s="38"/>
      <c r="M383" s="38" t="str">
        <f t="shared" si="29"/>
        <v/>
      </c>
      <c r="N383" s="47"/>
      <c r="O383" s="48" t="str">
        <f t="shared" si="30"/>
        <v>Ba</v>
      </c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42">
        <v>65943.0</v>
      </c>
      <c r="B384" s="42" t="s">
        <v>103</v>
      </c>
      <c r="C384" s="42" t="s">
        <v>97</v>
      </c>
      <c r="D384" s="43">
        <v>46239.0</v>
      </c>
      <c r="E384" s="42" t="s">
        <v>325</v>
      </c>
      <c r="F384" s="44">
        <f>IFERROR(__xludf.DUMMYFUNCTION("MIN(ARRAYFORMULA(TIMEVALUE(SPLIT(E384,"" ""))))"),0.55)</f>
        <v>0.55</v>
      </c>
      <c r="G384" s="44">
        <f>IFERROR(__xludf.DUMMYFUNCTION("MAX(ARRAYFORMULA(TIMEVALUE(SPLIT(E384,"" ""))))"),0.8138888888888889)</f>
        <v>0.8138888889</v>
      </c>
      <c r="H384" s="45"/>
      <c r="I384" s="45"/>
      <c r="J384" s="46">
        <f t="shared" si="28"/>
        <v>2</v>
      </c>
      <c r="K384" s="27"/>
      <c r="L384" s="38"/>
      <c r="M384" s="38" t="str">
        <f t="shared" si="29"/>
        <v/>
      </c>
      <c r="N384" s="47"/>
      <c r="O384" s="48" t="str">
        <f t="shared" si="30"/>
        <v>Tư</v>
      </c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42">
        <v>65943.0</v>
      </c>
      <c r="B385" s="42" t="s">
        <v>103</v>
      </c>
      <c r="C385" s="42" t="s">
        <v>97</v>
      </c>
      <c r="D385" s="43">
        <v>46240.0</v>
      </c>
      <c r="E385" s="42" t="s">
        <v>260</v>
      </c>
      <c r="F385" s="44">
        <f>IFERROR(__xludf.DUMMYFUNCTION("MIN(ARRAYFORMULA(TIMEVALUE(SPLIT(E385,"" ""))))"),0.5527777777777778)</f>
        <v>0.5527777778</v>
      </c>
      <c r="G385" s="44">
        <f>IFERROR(__xludf.DUMMYFUNCTION("MAX(ARRAYFORMULA(TIMEVALUE(SPLIT(E385,"" ""))))"),0.8131944444444444)</f>
        <v>0.8131944444</v>
      </c>
      <c r="H385" s="45"/>
      <c r="I385" s="45"/>
      <c r="J385" s="46">
        <f t="shared" si="28"/>
        <v>2</v>
      </c>
      <c r="K385" s="27"/>
      <c r="L385" s="38"/>
      <c r="M385" s="38" t="str">
        <f t="shared" si="29"/>
        <v/>
      </c>
      <c r="N385" s="47"/>
      <c r="O385" s="48" t="str">
        <f t="shared" si="30"/>
        <v>Năm</v>
      </c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42">
        <v>65943.0</v>
      </c>
      <c r="B386" s="42" t="s">
        <v>103</v>
      </c>
      <c r="C386" s="42" t="s">
        <v>97</v>
      </c>
      <c r="D386" s="43">
        <v>46241.0</v>
      </c>
      <c r="E386" s="42" t="s">
        <v>326</v>
      </c>
      <c r="F386" s="44">
        <f>IFERROR(__xludf.DUMMYFUNCTION("MIN(ARRAYFORMULA(TIMEVALUE(SPLIT(E386,"" ""))))"),0.3159722222222222)</f>
        <v>0.3159722222</v>
      </c>
      <c r="G386" s="44">
        <f>IFERROR(__xludf.DUMMYFUNCTION("MAX(ARRAYFORMULA(TIMEVALUE(SPLIT(E386,"" ""))))"),0.8131944444444444)</f>
        <v>0.8131944444</v>
      </c>
      <c r="H386" s="45"/>
      <c r="I386" s="45"/>
      <c r="J386" s="46">
        <f t="shared" si="28"/>
        <v>3</v>
      </c>
      <c r="K386" s="27"/>
      <c r="L386" s="38"/>
      <c r="M386" s="38" t="str">
        <f t="shared" si="29"/>
        <v/>
      </c>
      <c r="N386" s="47"/>
      <c r="O386" s="48" t="str">
        <f t="shared" si="30"/>
        <v>Sáu</v>
      </c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42">
        <v>65943.0</v>
      </c>
      <c r="B387" s="42" t="s">
        <v>103</v>
      </c>
      <c r="C387" s="42" t="s">
        <v>97</v>
      </c>
      <c r="D387" s="43">
        <v>46242.0</v>
      </c>
      <c r="E387" s="42" t="s">
        <v>153</v>
      </c>
      <c r="F387" s="44">
        <f>IFERROR(__xludf.DUMMYFUNCTION("MIN(ARRAYFORMULA(TIMEVALUE(SPLIT(E387,"" ""))))"),0.31666666666666665)</f>
        <v>0.3166666667</v>
      </c>
      <c r="G387" s="44">
        <f>IFERROR(__xludf.DUMMYFUNCTION("MAX(ARRAYFORMULA(TIMEVALUE(SPLIT(E387,"" ""))))"),0.8131944444444444)</f>
        <v>0.8131944444</v>
      </c>
      <c r="H387" s="45"/>
      <c r="I387" s="45"/>
      <c r="J387" s="46">
        <f t="shared" si="28"/>
        <v>3</v>
      </c>
      <c r="K387" s="27"/>
      <c r="L387" s="38"/>
      <c r="M387" s="38" t="str">
        <f t="shared" si="29"/>
        <v/>
      </c>
      <c r="N387" s="47"/>
      <c r="O387" s="48" t="str">
        <f t="shared" si="30"/>
        <v>Bảy</v>
      </c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42">
        <v>65943.0</v>
      </c>
      <c r="B388" s="42" t="s">
        <v>103</v>
      </c>
      <c r="C388" s="42" t="s">
        <v>97</v>
      </c>
      <c r="D388" s="43">
        <v>46243.0</v>
      </c>
      <c r="E388" s="42" t="s">
        <v>327</v>
      </c>
      <c r="F388" s="44">
        <f>IFERROR(__xludf.DUMMYFUNCTION("MIN(ARRAYFORMULA(TIMEVALUE(SPLIT(E388,"" ""))))"),0.3159722222222222)</f>
        <v>0.3159722222</v>
      </c>
      <c r="G388" s="44">
        <f>IFERROR(__xludf.DUMMYFUNCTION("MAX(ARRAYFORMULA(TIMEVALUE(SPLIT(E388,"" ""))))"),0.7506944444444444)</f>
        <v>0.7506944444</v>
      </c>
      <c r="H388" s="45"/>
      <c r="I388" s="45"/>
      <c r="J388" s="46">
        <f t="shared" si="28"/>
        <v>2</v>
      </c>
      <c r="K388" s="27"/>
      <c r="L388" s="38"/>
      <c r="M388" s="38">
        <f t="shared" si="29"/>
        <v>1</v>
      </c>
      <c r="N388" s="47"/>
      <c r="O388" s="48" t="str">
        <f t="shared" si="30"/>
        <v>CN</v>
      </c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42">
        <v>65943.0</v>
      </c>
      <c r="B389" s="42" t="s">
        <v>103</v>
      </c>
      <c r="C389" s="42" t="s">
        <v>97</v>
      </c>
      <c r="D389" s="43">
        <v>46244.0</v>
      </c>
      <c r="E389" s="42" t="s">
        <v>328</v>
      </c>
      <c r="F389" s="44">
        <f>IFERROR(__xludf.DUMMYFUNCTION("MIN(ARRAYFORMULA(TIMEVALUE(SPLIT(E389,"" ""))))"),0.3138888888888889)</f>
        <v>0.3138888889</v>
      </c>
      <c r="G389" s="44">
        <f>IFERROR(__xludf.DUMMYFUNCTION("MAX(ARRAYFORMULA(TIMEVALUE(SPLIT(E389,"" ""))))"),0.7284722222222222)</f>
        <v>0.7284722222</v>
      </c>
      <c r="H389" s="45"/>
      <c r="I389" s="45"/>
      <c r="J389" s="46">
        <f t="shared" si="28"/>
        <v>2</v>
      </c>
      <c r="K389" s="27"/>
      <c r="L389" s="38"/>
      <c r="M389" s="38" t="str">
        <f t="shared" si="29"/>
        <v/>
      </c>
      <c r="N389" s="47"/>
      <c r="O389" s="48" t="str">
        <f t="shared" si="30"/>
        <v>Hai</v>
      </c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42">
        <v>65943.0</v>
      </c>
      <c r="B390" s="42" t="s">
        <v>103</v>
      </c>
      <c r="C390" s="42" t="s">
        <v>97</v>
      </c>
      <c r="D390" s="43">
        <v>46248.0</v>
      </c>
      <c r="E390" s="42" t="s">
        <v>329</v>
      </c>
      <c r="F390" s="44">
        <f>IFERROR(__xludf.DUMMYFUNCTION("MIN(ARRAYFORMULA(TIMEVALUE(SPLIT(E390,"" ""))))"),0.3173611111111111)</f>
        <v>0.3173611111</v>
      </c>
      <c r="G390" s="44">
        <f>IFERROR(__xludf.DUMMYFUNCTION("MAX(ARRAYFORMULA(TIMEVALUE(SPLIT(E390,"" ""))))"),0.8138888888888889)</f>
        <v>0.8138888889</v>
      </c>
      <c r="H390" s="45"/>
      <c r="I390" s="45"/>
      <c r="J390" s="46">
        <f t="shared" si="28"/>
        <v>3</v>
      </c>
      <c r="K390" s="27"/>
      <c r="L390" s="38"/>
      <c r="M390" s="38" t="str">
        <f t="shared" si="29"/>
        <v/>
      </c>
      <c r="N390" s="47"/>
      <c r="O390" s="48" t="str">
        <f t="shared" si="30"/>
        <v>Sáu</v>
      </c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42">
        <v>65943.0</v>
      </c>
      <c r="B391" s="42" t="s">
        <v>103</v>
      </c>
      <c r="C391" s="42" t="s">
        <v>97</v>
      </c>
      <c r="D391" s="43">
        <v>46249.0</v>
      </c>
      <c r="E391" s="42" t="s">
        <v>330</v>
      </c>
      <c r="F391" s="44">
        <f>IFERROR(__xludf.DUMMYFUNCTION("MIN(ARRAYFORMULA(TIMEVALUE(SPLIT(E391,"" ""))))"),0.31527777777777777)</f>
        <v>0.3152777778</v>
      </c>
      <c r="G391" s="44">
        <f>IFERROR(__xludf.DUMMYFUNCTION("MAX(ARRAYFORMULA(TIMEVALUE(SPLIT(E391,"" ""))))"),0.8131944444444444)</f>
        <v>0.8131944444</v>
      </c>
      <c r="H391" s="45"/>
      <c r="I391" s="45"/>
      <c r="J391" s="46">
        <f t="shared" si="28"/>
        <v>3</v>
      </c>
      <c r="K391" s="27"/>
      <c r="L391" s="38"/>
      <c r="M391" s="38" t="str">
        <f t="shared" si="29"/>
        <v/>
      </c>
      <c r="N391" s="47"/>
      <c r="O391" s="48" t="str">
        <f t="shared" si="30"/>
        <v>Bảy</v>
      </c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42">
        <v>65943.0</v>
      </c>
      <c r="B392" s="42" t="s">
        <v>103</v>
      </c>
      <c r="C392" s="42" t="s">
        <v>97</v>
      </c>
      <c r="D392" s="43">
        <v>46251.0</v>
      </c>
      <c r="E392" s="42" t="s">
        <v>331</v>
      </c>
      <c r="F392" s="44">
        <f>IFERROR(__xludf.DUMMYFUNCTION("MIN(ARRAYFORMULA(TIMEVALUE(SPLIT(E392,"" ""))))"),0.3111111111111111)</f>
        <v>0.3111111111</v>
      </c>
      <c r="G392" s="44">
        <f>IFERROR(__xludf.DUMMYFUNCTION("MAX(ARRAYFORMULA(TIMEVALUE(SPLIT(E392,"" ""))))"),0.8166666666666667)</f>
        <v>0.8166666667</v>
      </c>
      <c r="H392" s="45"/>
      <c r="I392" s="45"/>
      <c r="J392" s="46">
        <f t="shared" si="28"/>
        <v>3</v>
      </c>
      <c r="K392" s="27"/>
      <c r="L392" s="38"/>
      <c r="M392" s="38" t="str">
        <f t="shared" si="29"/>
        <v/>
      </c>
      <c r="N392" s="47"/>
      <c r="O392" s="48" t="str">
        <f t="shared" si="30"/>
        <v>Hai</v>
      </c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42">
        <v>65943.0</v>
      </c>
      <c r="B393" s="42" t="s">
        <v>103</v>
      </c>
      <c r="C393" s="42" t="s">
        <v>97</v>
      </c>
      <c r="D393" s="43">
        <v>46252.0</v>
      </c>
      <c r="E393" s="42" t="s">
        <v>332</v>
      </c>
      <c r="F393" s="44">
        <f>IFERROR(__xludf.DUMMYFUNCTION("MIN(ARRAYFORMULA(TIMEVALUE(SPLIT(E393,"" ""))))"),0.31805555555555554)</f>
        <v>0.3180555556</v>
      </c>
      <c r="G393" s="44">
        <f>IFERROR(__xludf.DUMMYFUNCTION("MAX(ARRAYFORMULA(TIMEVALUE(SPLIT(E393,"" ""))))"),0.5194444444444445)</f>
        <v>0.5194444444</v>
      </c>
      <c r="H393" s="45"/>
      <c r="I393" s="45"/>
      <c r="J393" s="46">
        <f t="shared" si="28"/>
        <v>1</v>
      </c>
      <c r="K393" s="27"/>
      <c r="L393" s="38"/>
      <c r="M393" s="38" t="str">
        <f t="shared" si="29"/>
        <v/>
      </c>
      <c r="N393" s="47"/>
      <c r="O393" s="48" t="str">
        <f t="shared" si="30"/>
        <v>Ba</v>
      </c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42">
        <v>65943.0</v>
      </c>
      <c r="B394" s="42" t="s">
        <v>103</v>
      </c>
      <c r="C394" s="42" t="s">
        <v>97</v>
      </c>
      <c r="D394" s="43">
        <v>46253.0</v>
      </c>
      <c r="E394" s="42" t="s">
        <v>333</v>
      </c>
      <c r="F394" s="44">
        <f>IFERROR(__xludf.DUMMYFUNCTION("MIN(ARRAYFORMULA(TIMEVALUE(SPLIT(E394,"" ""))))"),0.3104166666666667)</f>
        <v>0.3104166667</v>
      </c>
      <c r="G394" s="44">
        <f>IFERROR(__xludf.DUMMYFUNCTION("MAX(ARRAYFORMULA(TIMEVALUE(SPLIT(E394,"" ""))))"),0.8125)</f>
        <v>0.8125</v>
      </c>
      <c r="H394" s="45"/>
      <c r="I394" s="45"/>
      <c r="J394" s="46">
        <f t="shared" si="28"/>
        <v>3</v>
      </c>
      <c r="K394" s="27"/>
      <c r="L394" s="38"/>
      <c r="M394" s="38" t="str">
        <f t="shared" si="29"/>
        <v/>
      </c>
      <c r="N394" s="47"/>
      <c r="O394" s="48" t="str">
        <f t="shared" si="30"/>
        <v>Tư</v>
      </c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42">
        <v>65943.0</v>
      </c>
      <c r="B395" s="42" t="s">
        <v>103</v>
      </c>
      <c r="C395" s="42" t="s">
        <v>97</v>
      </c>
      <c r="D395" s="43">
        <v>46254.0</v>
      </c>
      <c r="E395" s="42" t="s">
        <v>334</v>
      </c>
      <c r="F395" s="44">
        <f>IFERROR(__xludf.DUMMYFUNCTION("MIN(ARRAYFORMULA(TIMEVALUE(SPLIT(E395,"" ""))))"),0.32083333333333336)</f>
        <v>0.3208333333</v>
      </c>
      <c r="G395" s="44">
        <f>IFERROR(__xludf.DUMMYFUNCTION("MAX(ARRAYFORMULA(TIMEVALUE(SPLIT(E395,"" ""))))"),0.525)</f>
        <v>0.525</v>
      </c>
      <c r="H395" s="45"/>
      <c r="I395" s="45"/>
      <c r="J395" s="46">
        <f t="shared" si="28"/>
        <v>1</v>
      </c>
      <c r="K395" s="27"/>
      <c r="L395" s="38"/>
      <c r="M395" s="38" t="str">
        <f t="shared" si="29"/>
        <v/>
      </c>
      <c r="N395" s="47"/>
      <c r="O395" s="48" t="str">
        <f t="shared" si="30"/>
        <v>Năm</v>
      </c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42">
        <v>65943.0</v>
      </c>
      <c r="B396" s="42" t="s">
        <v>103</v>
      </c>
      <c r="C396" s="42" t="s">
        <v>97</v>
      </c>
      <c r="D396" s="43">
        <v>46255.0</v>
      </c>
      <c r="E396" s="42" t="s">
        <v>335</v>
      </c>
      <c r="F396" s="44">
        <f>IFERROR(__xludf.DUMMYFUNCTION("MIN(ARRAYFORMULA(TIMEVALUE(SPLIT(E396,"" ""))))"),0.31319444444444444)</f>
        <v>0.3131944444</v>
      </c>
      <c r="G396" s="44">
        <f>IFERROR(__xludf.DUMMYFUNCTION("MAX(ARRAYFORMULA(TIMEVALUE(SPLIT(E396,"" ""))))"),0.8131944444444444)</f>
        <v>0.8131944444</v>
      </c>
      <c r="H396" s="45"/>
      <c r="I396" s="45"/>
      <c r="J396" s="46">
        <f t="shared" si="28"/>
        <v>3</v>
      </c>
      <c r="K396" s="27"/>
      <c r="L396" s="51">
        <v>3.0</v>
      </c>
      <c r="M396" s="38" t="str">
        <f t="shared" si="29"/>
        <v/>
      </c>
      <c r="N396" s="47" t="s">
        <v>336</v>
      </c>
      <c r="O396" s="48" t="str">
        <f t="shared" si="30"/>
        <v>Sáu</v>
      </c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42">
        <v>65943.0</v>
      </c>
      <c r="B397" s="42" t="s">
        <v>103</v>
      </c>
      <c r="C397" s="42" t="s">
        <v>97</v>
      </c>
      <c r="D397" s="43">
        <v>46257.0</v>
      </c>
      <c r="E397" s="42" t="s">
        <v>337</v>
      </c>
      <c r="F397" s="44">
        <f>IFERROR(__xludf.DUMMYFUNCTION("MIN(ARRAYFORMULA(TIMEVALUE(SPLIT(E397,"" ""))))"),0.3055555555555556)</f>
        <v>0.3055555556</v>
      </c>
      <c r="G397" s="44">
        <f>IFERROR(__xludf.DUMMYFUNCTION("MAX(ARRAYFORMULA(TIMEVALUE(SPLIT(E397,"" ""))))"),0.5006944444444444)</f>
        <v>0.5006944444</v>
      </c>
      <c r="H397" s="45"/>
      <c r="I397" s="45"/>
      <c r="J397" s="46">
        <f t="shared" si="28"/>
        <v>1</v>
      </c>
      <c r="K397" s="27"/>
      <c r="L397" s="38"/>
      <c r="M397" s="38" t="str">
        <f t="shared" si="29"/>
        <v/>
      </c>
      <c r="N397" s="47"/>
      <c r="O397" s="48" t="str">
        <f t="shared" si="30"/>
        <v>CN</v>
      </c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42">
        <v>65943.0</v>
      </c>
      <c r="B398" s="42" t="s">
        <v>103</v>
      </c>
      <c r="C398" s="42" t="s">
        <v>97</v>
      </c>
      <c r="D398" s="43">
        <v>46258.0</v>
      </c>
      <c r="E398" s="42" t="s">
        <v>338</v>
      </c>
      <c r="F398" s="44">
        <f>IFERROR(__xludf.DUMMYFUNCTION("MIN(ARRAYFORMULA(TIMEVALUE(SPLIT(E398,"" ""))))"),0.3194444444444444)</f>
        <v>0.3194444444</v>
      </c>
      <c r="G398" s="44">
        <f>IFERROR(__xludf.DUMMYFUNCTION("MAX(ARRAYFORMULA(TIMEVALUE(SPLIT(E398,"" ""))))"),0.8145833333333333)</f>
        <v>0.8145833333</v>
      </c>
      <c r="H398" s="45"/>
      <c r="I398" s="45"/>
      <c r="J398" s="46">
        <f t="shared" si="28"/>
        <v>3</v>
      </c>
      <c r="K398" s="27"/>
      <c r="L398" s="38"/>
      <c r="M398" s="38" t="str">
        <f t="shared" si="29"/>
        <v/>
      </c>
      <c r="N398" s="47"/>
      <c r="O398" s="48" t="str">
        <f t="shared" si="30"/>
        <v>Hai</v>
      </c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42">
        <v>65943.0</v>
      </c>
      <c r="B399" s="42" t="s">
        <v>103</v>
      </c>
      <c r="C399" s="42" t="s">
        <v>97</v>
      </c>
      <c r="D399" s="43">
        <v>46259.0</v>
      </c>
      <c r="E399" s="42" t="s">
        <v>339</v>
      </c>
      <c r="F399" s="44">
        <f>IFERROR(__xludf.DUMMYFUNCTION("MIN(ARRAYFORMULA(TIMEVALUE(SPLIT(E399,"" ""))))"),0.32083333333333336)</f>
        <v>0.3208333333</v>
      </c>
      <c r="G399" s="44">
        <f>IFERROR(__xludf.DUMMYFUNCTION("MAX(ARRAYFORMULA(TIMEVALUE(SPLIT(E399,"" ""))))"),0.7298611111111111)</f>
        <v>0.7298611111</v>
      </c>
      <c r="H399" s="45"/>
      <c r="I399" s="45"/>
      <c r="J399" s="46">
        <f t="shared" si="28"/>
        <v>2</v>
      </c>
      <c r="K399" s="27"/>
      <c r="L399" s="38"/>
      <c r="M399" s="38" t="str">
        <f t="shared" si="29"/>
        <v/>
      </c>
      <c r="N399" s="47"/>
      <c r="O399" s="48" t="str">
        <f t="shared" si="30"/>
        <v>Ba</v>
      </c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42">
        <v>65943.0</v>
      </c>
      <c r="B400" s="42" t="s">
        <v>103</v>
      </c>
      <c r="C400" s="42" t="s">
        <v>97</v>
      </c>
      <c r="D400" s="43">
        <v>46260.0</v>
      </c>
      <c r="E400" s="42" t="s">
        <v>340</v>
      </c>
      <c r="F400" s="44">
        <f>IFERROR(__xludf.DUMMYFUNCTION("MIN(ARRAYFORMULA(TIMEVALUE(SPLIT(E400,"" ""))))"),0.32083333333333336)</f>
        <v>0.3208333333</v>
      </c>
      <c r="G400" s="44">
        <f>IFERROR(__xludf.DUMMYFUNCTION("MAX(ARRAYFORMULA(TIMEVALUE(SPLIT(E400,"" ""))))"),0.8131944444444444)</f>
        <v>0.8131944444</v>
      </c>
      <c r="H400" s="45"/>
      <c r="I400" s="45"/>
      <c r="J400" s="46">
        <f t="shared" si="28"/>
        <v>3</v>
      </c>
      <c r="K400" s="27"/>
      <c r="L400" s="38"/>
      <c r="M400" s="38" t="str">
        <f t="shared" si="29"/>
        <v/>
      </c>
      <c r="N400" s="47"/>
      <c r="O400" s="48" t="str">
        <f t="shared" si="30"/>
        <v>Tư</v>
      </c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42">
        <v>65943.0</v>
      </c>
      <c r="B401" s="42" t="s">
        <v>103</v>
      </c>
      <c r="C401" s="42" t="s">
        <v>97</v>
      </c>
      <c r="D401" s="43">
        <v>46261.0</v>
      </c>
      <c r="E401" s="42" t="s">
        <v>341</v>
      </c>
      <c r="F401" s="44">
        <f>IFERROR(__xludf.DUMMYFUNCTION("MIN(ARRAYFORMULA(TIMEVALUE(SPLIT(E401,"" ""))))"),0.3173611111111111)</f>
        <v>0.3173611111</v>
      </c>
      <c r="G401" s="44">
        <f>IFERROR(__xludf.DUMMYFUNCTION("MAX(ARRAYFORMULA(TIMEVALUE(SPLIT(E401,"" ""))))"),0.5)</f>
        <v>0.5</v>
      </c>
      <c r="H401" s="45"/>
      <c r="I401" s="45"/>
      <c r="J401" s="46">
        <f t="shared" si="28"/>
        <v>1</v>
      </c>
      <c r="K401" s="27"/>
      <c r="L401" s="38"/>
      <c r="M401" s="38" t="str">
        <f t="shared" si="29"/>
        <v/>
      </c>
      <c r="N401" s="47"/>
      <c r="O401" s="48" t="str">
        <f t="shared" si="30"/>
        <v>Năm</v>
      </c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42">
        <v>65943.0</v>
      </c>
      <c r="B402" s="42" t="s">
        <v>103</v>
      </c>
      <c r="C402" s="42" t="s">
        <v>97</v>
      </c>
      <c r="D402" s="43">
        <v>46262.0</v>
      </c>
      <c r="E402" s="42" t="s">
        <v>342</v>
      </c>
      <c r="F402" s="44">
        <f>IFERROR(__xludf.DUMMYFUNCTION("MIN(ARRAYFORMULA(TIMEVALUE(SPLIT(E402,"" ""))))"),0.3034722222222222)</f>
        <v>0.3034722222</v>
      </c>
      <c r="G402" s="44">
        <f>IFERROR(__xludf.DUMMYFUNCTION("MAX(ARRAYFORMULA(TIMEVALUE(SPLIT(E402,"" ""))))"),0.8131944444444444)</f>
        <v>0.8131944444</v>
      </c>
      <c r="H402" s="45"/>
      <c r="I402" s="45"/>
      <c r="J402" s="46">
        <f t="shared" si="28"/>
        <v>3</v>
      </c>
      <c r="K402" s="27"/>
      <c r="L402" s="38"/>
      <c r="M402" s="38" t="str">
        <f t="shared" si="29"/>
        <v/>
      </c>
      <c r="N402" s="47"/>
      <c r="O402" s="48" t="str">
        <f t="shared" si="30"/>
        <v>Sáu</v>
      </c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42">
        <v>65943.0</v>
      </c>
      <c r="B403" s="42" t="s">
        <v>103</v>
      </c>
      <c r="C403" s="42" t="s">
        <v>97</v>
      </c>
      <c r="D403" s="43">
        <v>46263.0</v>
      </c>
      <c r="E403" s="42" t="s">
        <v>343</v>
      </c>
      <c r="F403" s="44">
        <f>IFERROR(__xludf.DUMMYFUNCTION("MIN(ARRAYFORMULA(TIMEVALUE(SPLIT(E403,"" ""))))"),0.3090277777777778)</f>
        <v>0.3090277778</v>
      </c>
      <c r="G403" s="44">
        <f>IFERROR(__xludf.DUMMYFUNCTION("MAX(ARRAYFORMULA(TIMEVALUE(SPLIT(E403,"" ""))))"),0.8131944444444444)</f>
        <v>0.8131944444</v>
      </c>
      <c r="H403" s="45"/>
      <c r="I403" s="45"/>
      <c r="J403" s="46">
        <f t="shared" si="28"/>
        <v>3</v>
      </c>
      <c r="K403" s="27"/>
      <c r="L403" s="38"/>
      <c r="M403" s="38" t="str">
        <f t="shared" si="29"/>
        <v/>
      </c>
      <c r="N403" s="47"/>
      <c r="O403" s="48" t="str">
        <f t="shared" si="30"/>
        <v>Bảy</v>
      </c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42">
        <v>65943.0</v>
      </c>
      <c r="B404" s="42" t="s">
        <v>103</v>
      </c>
      <c r="C404" s="42" t="s">
        <v>97</v>
      </c>
      <c r="D404" s="43">
        <v>46265.0</v>
      </c>
      <c r="E404" s="42" t="s">
        <v>344</v>
      </c>
      <c r="F404" s="44">
        <f>IFERROR(__xludf.DUMMYFUNCTION("MIN(ARRAYFORMULA(TIMEVALUE(SPLIT(E404,"" ""))))"),0.30416666666666664)</f>
        <v>0.3041666667</v>
      </c>
      <c r="G404" s="44">
        <f>IFERROR(__xludf.DUMMYFUNCTION("MAX(ARRAYFORMULA(TIMEVALUE(SPLIT(E404,"" ""))))"),0.8131944444444444)</f>
        <v>0.8131944444</v>
      </c>
      <c r="H404" s="45"/>
      <c r="I404" s="45"/>
      <c r="J404" s="46">
        <f t="shared" si="28"/>
        <v>3</v>
      </c>
      <c r="K404" s="27"/>
      <c r="L404" s="38"/>
      <c r="M404" s="38" t="str">
        <f t="shared" si="29"/>
        <v/>
      </c>
      <c r="N404" s="47"/>
      <c r="O404" s="48" t="str">
        <f t="shared" si="30"/>
        <v>Hai</v>
      </c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42">
        <v>20666.0</v>
      </c>
      <c r="B405" s="42" t="s">
        <v>31</v>
      </c>
      <c r="C405" s="42" t="s">
        <v>23</v>
      </c>
      <c r="D405" s="43">
        <v>46235.0</v>
      </c>
      <c r="E405" s="42" t="s">
        <v>345</v>
      </c>
      <c r="F405" s="44">
        <f>IFERROR(__xludf.DUMMYFUNCTION("MIN(ARRAYFORMULA(TIMEVALUE(SPLIT(E405,"" ""))))"),0.3375)</f>
        <v>0.3375</v>
      </c>
      <c r="G405" s="44">
        <f>IFERROR(__xludf.DUMMYFUNCTION("MAX(ARRAYFORMULA(TIMEVALUE(SPLIT(E405,"" ""))))"),0.8125)</f>
        <v>0.8125</v>
      </c>
      <c r="H405" s="42">
        <v>6.0</v>
      </c>
      <c r="I405" s="45"/>
      <c r="J405" s="46">
        <f t="shared" si="28"/>
        <v>3</v>
      </c>
      <c r="K405" s="27"/>
      <c r="L405" s="38"/>
      <c r="M405" s="38" t="str">
        <f t="shared" si="29"/>
        <v/>
      </c>
      <c r="N405" s="47"/>
      <c r="O405" s="48" t="str">
        <f t="shared" si="30"/>
        <v>Bảy</v>
      </c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42">
        <v>20666.0</v>
      </c>
      <c r="B406" s="42" t="s">
        <v>31</v>
      </c>
      <c r="C406" s="42" t="s">
        <v>23</v>
      </c>
      <c r="D406" s="43">
        <v>46236.0</v>
      </c>
      <c r="E406" s="42" t="s">
        <v>346</v>
      </c>
      <c r="F406" s="44">
        <f>IFERROR(__xludf.DUMMYFUNCTION("MIN(ARRAYFORMULA(TIMEVALUE(SPLIT(E406,"" ""))))"),0.3326388888888889)</f>
        <v>0.3326388889</v>
      </c>
      <c r="G406" s="44">
        <f>IFERROR(__xludf.DUMMYFUNCTION("MAX(ARRAYFORMULA(TIMEVALUE(SPLIT(E406,"" ""))))"),0.7506944444444444)</f>
        <v>0.7506944444</v>
      </c>
      <c r="H406" s="45"/>
      <c r="I406" s="45"/>
      <c r="J406" s="46">
        <f t="shared" si="28"/>
        <v>2</v>
      </c>
      <c r="K406" s="27"/>
      <c r="L406" s="38"/>
      <c r="M406" s="38">
        <f t="shared" si="29"/>
        <v>1</v>
      </c>
      <c r="N406" s="47"/>
      <c r="O406" s="48" t="str">
        <f t="shared" si="30"/>
        <v>CN</v>
      </c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42">
        <v>20666.0</v>
      </c>
      <c r="B407" s="42" t="s">
        <v>31</v>
      </c>
      <c r="C407" s="42" t="s">
        <v>23</v>
      </c>
      <c r="D407" s="43">
        <v>46237.0</v>
      </c>
      <c r="E407" s="42" t="s">
        <v>347</v>
      </c>
      <c r="F407" s="44">
        <f>IFERROR(__xludf.DUMMYFUNCTION("MIN(ARRAYFORMULA(TIMEVALUE(SPLIT(E407,"" ""))))"),0.33194444444444443)</f>
        <v>0.3319444444</v>
      </c>
      <c r="G407" s="44">
        <f>IFERROR(__xludf.DUMMYFUNCTION("MAX(ARRAYFORMULA(TIMEVALUE(SPLIT(E407,"" ""))))"),0.8118055555555556)</f>
        <v>0.8118055556</v>
      </c>
      <c r="H407" s="45"/>
      <c r="I407" s="45"/>
      <c r="J407" s="46">
        <f t="shared" si="28"/>
        <v>3</v>
      </c>
      <c r="K407" s="27"/>
      <c r="L407" s="38"/>
      <c r="M407" s="38" t="str">
        <f t="shared" si="29"/>
        <v/>
      </c>
      <c r="N407" s="47"/>
      <c r="O407" s="48" t="str">
        <f t="shared" si="30"/>
        <v>Hai</v>
      </c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42">
        <v>20666.0</v>
      </c>
      <c r="B408" s="42" t="s">
        <v>31</v>
      </c>
      <c r="C408" s="42" t="s">
        <v>23</v>
      </c>
      <c r="D408" s="43">
        <v>46238.0</v>
      </c>
      <c r="E408" s="42" t="s">
        <v>122</v>
      </c>
      <c r="F408" s="44">
        <f>IFERROR(__xludf.DUMMYFUNCTION("MIN(ARRAYFORMULA(TIMEVALUE(SPLIT(E408,"" ""))))"),0.33402777777777776)</f>
        <v>0.3340277778</v>
      </c>
      <c r="G408" s="44">
        <f>IFERROR(__xludf.DUMMYFUNCTION("MAX(ARRAYFORMULA(TIMEVALUE(SPLIT(E408,"" ""))))"),0.8131944444444444)</f>
        <v>0.8131944444</v>
      </c>
      <c r="H408" s="42">
        <v>1.0</v>
      </c>
      <c r="I408" s="45"/>
      <c r="J408" s="46">
        <f t="shared" si="28"/>
        <v>3</v>
      </c>
      <c r="K408" s="27"/>
      <c r="L408" s="38"/>
      <c r="M408" s="38" t="str">
        <f t="shared" si="29"/>
        <v/>
      </c>
      <c r="N408" s="47"/>
      <c r="O408" s="48" t="str">
        <f t="shared" si="30"/>
        <v>Ba</v>
      </c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42">
        <v>20666.0</v>
      </c>
      <c r="B409" s="42" t="s">
        <v>31</v>
      </c>
      <c r="C409" s="42" t="s">
        <v>23</v>
      </c>
      <c r="D409" s="43">
        <v>46240.0</v>
      </c>
      <c r="E409" s="42" t="s">
        <v>132</v>
      </c>
      <c r="F409" s="44">
        <f>IFERROR(__xludf.DUMMYFUNCTION("MIN(ARRAYFORMULA(TIMEVALUE(SPLIT(E409,"" ""))))"),0.33055555555555555)</f>
        <v>0.3305555556</v>
      </c>
      <c r="G409" s="44">
        <f>IFERROR(__xludf.DUMMYFUNCTION("MAX(ARRAYFORMULA(TIMEVALUE(SPLIT(E409,"" ""))))"),0.8131944444444444)</f>
        <v>0.8131944444</v>
      </c>
      <c r="H409" s="45"/>
      <c r="I409" s="45"/>
      <c r="J409" s="46">
        <f t="shared" si="28"/>
        <v>3</v>
      </c>
      <c r="K409" s="27"/>
      <c r="L409" s="38"/>
      <c r="M409" s="38" t="str">
        <f t="shared" si="29"/>
        <v/>
      </c>
      <c r="N409" s="47"/>
      <c r="O409" s="48" t="str">
        <f t="shared" si="30"/>
        <v>Năm</v>
      </c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42">
        <v>20666.0</v>
      </c>
      <c r="B410" s="42" t="s">
        <v>31</v>
      </c>
      <c r="C410" s="42" t="s">
        <v>23</v>
      </c>
      <c r="D410" s="43">
        <v>46241.0</v>
      </c>
      <c r="E410" s="42" t="s">
        <v>229</v>
      </c>
      <c r="F410" s="44">
        <f>IFERROR(__xludf.DUMMYFUNCTION("MIN(ARRAYFORMULA(TIMEVALUE(SPLIT(E410,"" ""))))"),0.33125)</f>
        <v>0.33125</v>
      </c>
      <c r="G410" s="44">
        <f>IFERROR(__xludf.DUMMYFUNCTION("MAX(ARRAYFORMULA(TIMEVALUE(SPLIT(E410,"" ""))))"),0.8131944444444444)</f>
        <v>0.8131944444</v>
      </c>
      <c r="H410" s="45"/>
      <c r="I410" s="45"/>
      <c r="J410" s="46">
        <f t="shared" si="28"/>
        <v>3</v>
      </c>
      <c r="K410" s="27"/>
      <c r="L410" s="38"/>
      <c r="M410" s="38" t="str">
        <f t="shared" si="29"/>
        <v/>
      </c>
      <c r="N410" s="47"/>
      <c r="O410" s="48" t="str">
        <f t="shared" si="30"/>
        <v>Sáu</v>
      </c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42">
        <v>20666.0</v>
      </c>
      <c r="B411" s="42" t="s">
        <v>31</v>
      </c>
      <c r="C411" s="42" t="s">
        <v>23</v>
      </c>
      <c r="D411" s="43">
        <v>46242.0</v>
      </c>
      <c r="E411" s="42" t="s">
        <v>348</v>
      </c>
      <c r="F411" s="44">
        <f>IFERROR(__xludf.DUMMYFUNCTION("MIN(ARRAYFORMULA(TIMEVALUE(SPLIT(E411,"" ""))))"),0.3347222222222222)</f>
        <v>0.3347222222</v>
      </c>
      <c r="G411" s="44">
        <f>IFERROR(__xludf.DUMMYFUNCTION("MAX(ARRAYFORMULA(TIMEVALUE(SPLIT(E411,"" ""))))"),0.8125)</f>
        <v>0.8125</v>
      </c>
      <c r="H411" s="42">
        <v>2.0</v>
      </c>
      <c r="I411" s="45"/>
      <c r="J411" s="46">
        <f t="shared" si="28"/>
        <v>3</v>
      </c>
      <c r="K411" s="27"/>
      <c r="L411" s="38"/>
      <c r="M411" s="38" t="str">
        <f t="shared" si="29"/>
        <v/>
      </c>
      <c r="N411" s="47"/>
      <c r="O411" s="48" t="str">
        <f t="shared" si="30"/>
        <v>Bảy</v>
      </c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42">
        <v>20666.0</v>
      </c>
      <c r="B412" s="42" t="s">
        <v>31</v>
      </c>
      <c r="C412" s="42" t="s">
        <v>23</v>
      </c>
      <c r="D412" s="43">
        <v>46243.0</v>
      </c>
      <c r="E412" s="42" t="s">
        <v>349</v>
      </c>
      <c r="F412" s="44">
        <f>IFERROR(__xludf.DUMMYFUNCTION("MIN(ARRAYFORMULA(TIMEVALUE(SPLIT(E412,"" ""))))"),0.3423611111111111)</f>
        <v>0.3423611111</v>
      </c>
      <c r="G412" s="44">
        <f>IFERROR(__xludf.DUMMYFUNCTION("MAX(ARRAYFORMULA(TIMEVALUE(SPLIT(E412,"" ""))))"),0.7506944444444444)</f>
        <v>0.7506944444</v>
      </c>
      <c r="H412" s="42">
        <v>13.0</v>
      </c>
      <c r="I412" s="45"/>
      <c r="J412" s="46">
        <f t="shared" si="28"/>
        <v>2</v>
      </c>
      <c r="K412" s="27"/>
      <c r="L412" s="38"/>
      <c r="M412" s="38">
        <f t="shared" si="29"/>
        <v>1</v>
      </c>
      <c r="N412" s="47"/>
      <c r="O412" s="48" t="str">
        <f t="shared" si="30"/>
        <v>CN</v>
      </c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42">
        <v>20666.0</v>
      </c>
      <c r="B413" s="42" t="s">
        <v>31</v>
      </c>
      <c r="C413" s="42" t="s">
        <v>23</v>
      </c>
      <c r="D413" s="43">
        <v>46244.0</v>
      </c>
      <c r="E413" s="53">
        <v>0.33402777777777776</v>
      </c>
      <c r="F413" s="44">
        <f>IFERROR(__xludf.DUMMYFUNCTION("MIN(ARRAYFORMULA(TIMEVALUE(SPLIT(E413,"" ""))))"),0.33402777777777776)</f>
        <v>0.3340277778</v>
      </c>
      <c r="G413" s="44">
        <f>IFERROR(__xludf.DUMMYFUNCTION("MAX(ARRAYFORMULA(TIMEVALUE(SPLIT(E413,"" ""))))"),0.33402777777777776)</f>
        <v>0.3340277778</v>
      </c>
      <c r="H413" s="42">
        <v>1.0</v>
      </c>
      <c r="I413" s="45"/>
      <c r="J413" s="55">
        <v>3.0</v>
      </c>
      <c r="K413" s="27"/>
      <c r="L413" s="38"/>
      <c r="M413" s="38" t="str">
        <f t="shared" si="29"/>
        <v/>
      </c>
      <c r="N413" s="47" t="s">
        <v>128</v>
      </c>
      <c r="O413" s="48" t="str">
        <f t="shared" si="30"/>
        <v>Hai</v>
      </c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42">
        <v>20666.0</v>
      </c>
      <c r="B414" s="42" t="s">
        <v>31</v>
      </c>
      <c r="C414" s="42" t="s">
        <v>23</v>
      </c>
      <c r="D414" s="43">
        <v>46248.0</v>
      </c>
      <c r="E414" s="42" t="s">
        <v>134</v>
      </c>
      <c r="F414" s="44">
        <f>IFERROR(__xludf.DUMMYFUNCTION("MIN(ARRAYFORMULA(TIMEVALUE(SPLIT(E414,"" ""))))"),0.33125)</f>
        <v>0.33125</v>
      </c>
      <c r="G414" s="44">
        <f>IFERROR(__xludf.DUMMYFUNCTION("MAX(ARRAYFORMULA(TIMEVALUE(SPLIT(E414,"" ""))))"),0.8125)</f>
        <v>0.8125</v>
      </c>
      <c r="H414" s="45"/>
      <c r="I414" s="45"/>
      <c r="J414" s="46">
        <f t="shared" ref="J414:J475" si="31">IF(WEEKDAY(D414,2)=7,IF(AND(F414&lt;TIME(8,15,0),G414&gt;=TIME(11,55,0)),1,0)+IF(AND(F414&lt;TIME(13,45,0),G414&gt;=TIME(17,55,0)),1,0),IF(AND(F414&lt;TIME(8,15,0),G414&gt;=TIME(11,55,0)),1,0)+IF(AND(F414&lt;TIME(13,45,0),G414&gt;=TIME(17,25,0)),1,0)+IF(AND(F414&lt;TIME(15,45,0),G414&gt;=TIME(19,25,0)),1,0))</f>
        <v>3</v>
      </c>
      <c r="K414" s="27"/>
      <c r="L414" s="38"/>
      <c r="M414" s="38" t="str">
        <f t="shared" si="29"/>
        <v/>
      </c>
      <c r="N414" s="47"/>
      <c r="O414" s="48" t="str">
        <f t="shared" si="30"/>
        <v>Sáu</v>
      </c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42">
        <v>20666.0</v>
      </c>
      <c r="B415" s="42" t="s">
        <v>31</v>
      </c>
      <c r="C415" s="42" t="s">
        <v>23</v>
      </c>
      <c r="D415" s="43">
        <v>46249.0</v>
      </c>
      <c r="E415" s="42" t="s">
        <v>101</v>
      </c>
      <c r="F415" s="44">
        <f>IFERROR(__xludf.DUMMYFUNCTION("MIN(ARRAYFORMULA(TIMEVALUE(SPLIT(E415,"" ""))))"),0.3263888888888889)</f>
        <v>0.3263888889</v>
      </c>
      <c r="G415" s="44">
        <f>IFERROR(__xludf.DUMMYFUNCTION("MAX(ARRAYFORMULA(TIMEVALUE(SPLIT(E415,"" ""))))"),0.8125)</f>
        <v>0.8125</v>
      </c>
      <c r="H415" s="45"/>
      <c r="I415" s="45"/>
      <c r="J415" s="46">
        <f t="shared" si="31"/>
        <v>3</v>
      </c>
      <c r="K415" s="27"/>
      <c r="L415" s="38"/>
      <c r="M415" s="38" t="str">
        <f t="shared" si="29"/>
        <v/>
      </c>
      <c r="N415" s="47"/>
      <c r="O415" s="48" t="str">
        <f t="shared" si="30"/>
        <v>Bảy</v>
      </c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42">
        <v>20666.0</v>
      </c>
      <c r="B416" s="42" t="s">
        <v>31</v>
      </c>
      <c r="C416" s="42" t="s">
        <v>23</v>
      </c>
      <c r="D416" s="43">
        <v>46250.0</v>
      </c>
      <c r="E416" s="42" t="s">
        <v>350</v>
      </c>
      <c r="F416" s="44">
        <f>IFERROR(__xludf.DUMMYFUNCTION("MIN(ARRAYFORMULA(TIMEVALUE(SPLIT(E416,"" ""))))"),0.32916666666666666)</f>
        <v>0.3291666667</v>
      </c>
      <c r="G416" s="44">
        <f>IFERROR(__xludf.DUMMYFUNCTION("MAX(ARRAYFORMULA(TIMEVALUE(SPLIT(E416,"" ""))))"),0.75625)</f>
        <v>0.75625</v>
      </c>
      <c r="H416" s="45"/>
      <c r="I416" s="45"/>
      <c r="J416" s="46">
        <f t="shared" si="31"/>
        <v>2</v>
      </c>
      <c r="K416" s="27"/>
      <c r="L416" s="38"/>
      <c r="M416" s="38">
        <f t="shared" si="29"/>
        <v>1</v>
      </c>
      <c r="N416" s="47"/>
      <c r="O416" s="48" t="str">
        <f t="shared" si="30"/>
        <v>CN</v>
      </c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42">
        <v>20666.0</v>
      </c>
      <c r="B417" s="42" t="s">
        <v>31</v>
      </c>
      <c r="C417" s="42" t="s">
        <v>23</v>
      </c>
      <c r="D417" s="43">
        <v>46251.0</v>
      </c>
      <c r="E417" s="42" t="s">
        <v>351</v>
      </c>
      <c r="F417" s="44">
        <f>IFERROR(__xludf.DUMMYFUNCTION("MIN(ARRAYFORMULA(TIMEVALUE(SPLIT(E417,"" ""))))"),0.33125)</f>
        <v>0.33125</v>
      </c>
      <c r="G417" s="44">
        <f>IFERROR(__xludf.DUMMYFUNCTION("MAX(ARRAYFORMULA(TIMEVALUE(SPLIT(E417,"" ""))))"),0.8194444444444444)</f>
        <v>0.8194444444</v>
      </c>
      <c r="H417" s="45"/>
      <c r="I417" s="45"/>
      <c r="J417" s="46">
        <f t="shared" si="31"/>
        <v>3</v>
      </c>
      <c r="K417" s="27"/>
      <c r="L417" s="38"/>
      <c r="M417" s="38" t="str">
        <f t="shared" si="29"/>
        <v/>
      </c>
      <c r="N417" s="47"/>
      <c r="O417" s="48" t="str">
        <f t="shared" si="30"/>
        <v>Hai</v>
      </c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42">
        <v>20666.0</v>
      </c>
      <c r="B418" s="42" t="s">
        <v>31</v>
      </c>
      <c r="C418" s="42" t="s">
        <v>23</v>
      </c>
      <c r="D418" s="43">
        <v>46252.0</v>
      </c>
      <c r="E418" s="42" t="s">
        <v>352</v>
      </c>
      <c r="F418" s="44">
        <f>IFERROR(__xludf.DUMMYFUNCTION("MIN(ARRAYFORMULA(TIMEVALUE(SPLIT(E418,"" ""))))"),0.3298611111111111)</f>
        <v>0.3298611111</v>
      </c>
      <c r="G418" s="44">
        <f>IFERROR(__xludf.DUMMYFUNCTION("MAX(ARRAYFORMULA(TIMEVALUE(SPLIT(E418,"" ""))))"),0.8145833333333333)</f>
        <v>0.8145833333</v>
      </c>
      <c r="H418" s="45"/>
      <c r="I418" s="45"/>
      <c r="J418" s="46">
        <f t="shared" si="31"/>
        <v>3</v>
      </c>
      <c r="K418" s="27"/>
      <c r="L418" s="38"/>
      <c r="M418" s="38" t="str">
        <f t="shared" si="29"/>
        <v/>
      </c>
      <c r="N418" s="47"/>
      <c r="O418" s="48" t="str">
        <f t="shared" si="30"/>
        <v>Ba</v>
      </c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42">
        <v>20666.0</v>
      </c>
      <c r="B419" s="42" t="s">
        <v>31</v>
      </c>
      <c r="C419" s="42" t="s">
        <v>23</v>
      </c>
      <c r="D419" s="43">
        <v>46253.0</v>
      </c>
      <c r="E419" s="42" t="s">
        <v>353</v>
      </c>
      <c r="F419" s="44">
        <f>IFERROR(__xludf.DUMMYFUNCTION("MIN(ARRAYFORMULA(TIMEVALUE(SPLIT(E419,"" ""))))"),0.33055555555555555)</f>
        <v>0.3305555556</v>
      </c>
      <c r="G419" s="44">
        <f>IFERROR(__xludf.DUMMYFUNCTION("MAX(ARRAYFORMULA(TIMEVALUE(SPLIT(E419,"" ""))))"),0.8138888888888889)</f>
        <v>0.8138888889</v>
      </c>
      <c r="H419" s="45"/>
      <c r="I419" s="45"/>
      <c r="J419" s="46">
        <f t="shared" si="31"/>
        <v>3</v>
      </c>
      <c r="K419" s="27"/>
      <c r="L419" s="38"/>
      <c r="M419" s="38" t="str">
        <f t="shared" si="29"/>
        <v/>
      </c>
      <c r="N419" s="47"/>
      <c r="O419" s="48" t="str">
        <f t="shared" si="30"/>
        <v>Tư</v>
      </c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42">
        <v>20666.0</v>
      </c>
      <c r="B420" s="42" t="s">
        <v>31</v>
      </c>
      <c r="C420" s="42" t="s">
        <v>23</v>
      </c>
      <c r="D420" s="43">
        <v>46255.0</v>
      </c>
      <c r="E420" s="42" t="s">
        <v>77</v>
      </c>
      <c r="F420" s="44">
        <f>IFERROR(__xludf.DUMMYFUNCTION("MIN(ARRAYFORMULA(TIMEVALUE(SPLIT(E420,"" ""))))"),0.3368055555555556)</f>
        <v>0.3368055556</v>
      </c>
      <c r="G420" s="44">
        <f>IFERROR(__xludf.DUMMYFUNCTION("MAX(ARRAYFORMULA(TIMEVALUE(SPLIT(E420,"" ""))))"),0.8125)</f>
        <v>0.8125</v>
      </c>
      <c r="H420" s="42">
        <v>5.0</v>
      </c>
      <c r="I420" s="45"/>
      <c r="J420" s="46">
        <f t="shared" si="31"/>
        <v>3</v>
      </c>
      <c r="K420" s="27"/>
      <c r="L420" s="38"/>
      <c r="M420" s="38" t="str">
        <f t="shared" si="29"/>
        <v/>
      </c>
      <c r="N420" s="47"/>
      <c r="O420" s="48" t="str">
        <f t="shared" si="30"/>
        <v>Sáu</v>
      </c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42">
        <v>20666.0</v>
      </c>
      <c r="B421" s="42" t="s">
        <v>31</v>
      </c>
      <c r="C421" s="42" t="s">
        <v>23</v>
      </c>
      <c r="D421" s="43">
        <v>46256.0</v>
      </c>
      <c r="E421" s="42" t="s">
        <v>354</v>
      </c>
      <c r="F421" s="44">
        <f>IFERROR(__xludf.DUMMYFUNCTION("MIN(ARRAYFORMULA(TIMEVALUE(SPLIT(E421,"" ""))))"),0.33541666666666664)</f>
        <v>0.3354166667</v>
      </c>
      <c r="G421" s="44">
        <f>IFERROR(__xludf.DUMMYFUNCTION("MAX(ARRAYFORMULA(TIMEVALUE(SPLIT(E421,"" ""))))"),0.8125)</f>
        <v>0.8125</v>
      </c>
      <c r="H421" s="42">
        <v>3.0</v>
      </c>
      <c r="I421" s="45"/>
      <c r="J421" s="46">
        <f t="shared" si="31"/>
        <v>3</v>
      </c>
      <c r="K421" s="27"/>
      <c r="L421" s="38"/>
      <c r="M421" s="38" t="str">
        <f t="shared" si="29"/>
        <v/>
      </c>
      <c r="N421" s="47"/>
      <c r="O421" s="48" t="str">
        <f t="shared" si="30"/>
        <v>Bảy</v>
      </c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42">
        <v>20666.0</v>
      </c>
      <c r="B422" s="42" t="s">
        <v>31</v>
      </c>
      <c r="C422" s="42" t="s">
        <v>23</v>
      </c>
      <c r="D422" s="43">
        <v>46257.0</v>
      </c>
      <c r="E422" s="42" t="s">
        <v>355</v>
      </c>
      <c r="F422" s="44">
        <f>IFERROR(__xludf.DUMMYFUNCTION("MIN(ARRAYFORMULA(TIMEVALUE(SPLIT(E422,"" ""))))"),0.3347222222222222)</f>
        <v>0.3347222222</v>
      </c>
      <c r="G422" s="44">
        <f>IFERROR(__xludf.DUMMYFUNCTION("MAX(ARRAYFORMULA(TIMEVALUE(SPLIT(E422,"" ""))))"),0.4979166666666667)</f>
        <v>0.4979166667</v>
      </c>
      <c r="H422" s="42">
        <v>2.0</v>
      </c>
      <c r="I422" s="45"/>
      <c r="J422" s="46">
        <f t="shared" si="31"/>
        <v>1</v>
      </c>
      <c r="K422" s="27"/>
      <c r="L422" s="38"/>
      <c r="M422" s="38" t="str">
        <f t="shared" si="29"/>
        <v/>
      </c>
      <c r="N422" s="47"/>
      <c r="O422" s="48" t="str">
        <f t="shared" si="30"/>
        <v>CN</v>
      </c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42">
        <v>20666.0</v>
      </c>
      <c r="B423" s="42" t="s">
        <v>31</v>
      </c>
      <c r="C423" s="42" t="s">
        <v>23</v>
      </c>
      <c r="D423" s="43">
        <v>46258.0</v>
      </c>
      <c r="E423" s="42" t="s">
        <v>356</v>
      </c>
      <c r="F423" s="44">
        <f>IFERROR(__xludf.DUMMYFUNCTION("MIN(ARRAYFORMULA(TIMEVALUE(SPLIT(E423,"" ""))))"),0.3416666666666667)</f>
        <v>0.3416666667</v>
      </c>
      <c r="G423" s="44">
        <f>IFERROR(__xludf.DUMMYFUNCTION("MAX(ARRAYFORMULA(TIMEVALUE(SPLIT(E423,"" ""))))"),0.8138888888888889)</f>
        <v>0.8138888889</v>
      </c>
      <c r="H423" s="42">
        <v>12.0</v>
      </c>
      <c r="I423" s="45"/>
      <c r="J423" s="46">
        <f t="shared" si="31"/>
        <v>3</v>
      </c>
      <c r="K423" s="27"/>
      <c r="L423" s="38"/>
      <c r="M423" s="38" t="str">
        <f t="shared" si="29"/>
        <v/>
      </c>
      <c r="N423" s="47"/>
      <c r="O423" s="48" t="str">
        <f t="shared" si="30"/>
        <v>Hai</v>
      </c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42">
        <v>20666.0</v>
      </c>
      <c r="B424" s="42" t="s">
        <v>31</v>
      </c>
      <c r="C424" s="42" t="s">
        <v>23</v>
      </c>
      <c r="D424" s="43">
        <v>46259.0</v>
      </c>
      <c r="E424" s="42" t="s">
        <v>357</v>
      </c>
      <c r="F424" s="44">
        <f>IFERROR(__xludf.DUMMYFUNCTION("MIN(ARRAYFORMULA(TIMEVALUE(SPLIT(E424,"" ""))))"),0.3388888888888889)</f>
        <v>0.3388888889</v>
      </c>
      <c r="G424" s="44">
        <f>IFERROR(__xludf.DUMMYFUNCTION("MAX(ARRAYFORMULA(TIMEVALUE(SPLIT(E424,"" ""))))"),0.8125)</f>
        <v>0.8125</v>
      </c>
      <c r="H424" s="42">
        <v>8.0</v>
      </c>
      <c r="I424" s="45"/>
      <c r="J424" s="46">
        <f t="shared" si="31"/>
        <v>3</v>
      </c>
      <c r="K424" s="27"/>
      <c r="L424" s="38"/>
      <c r="M424" s="38" t="str">
        <f t="shared" si="29"/>
        <v/>
      </c>
      <c r="N424" s="47"/>
      <c r="O424" s="48" t="str">
        <f t="shared" si="30"/>
        <v>Ba</v>
      </c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42">
        <v>20666.0</v>
      </c>
      <c r="B425" s="42" t="s">
        <v>31</v>
      </c>
      <c r="C425" s="42" t="s">
        <v>23</v>
      </c>
      <c r="D425" s="43">
        <v>46260.0</v>
      </c>
      <c r="E425" s="42" t="s">
        <v>71</v>
      </c>
      <c r="F425" s="44">
        <f>IFERROR(__xludf.DUMMYFUNCTION("MIN(ARRAYFORMULA(TIMEVALUE(SPLIT(E425,"" ""))))"),0.33055555555555555)</f>
        <v>0.3305555556</v>
      </c>
      <c r="G425" s="44">
        <f>IFERROR(__xludf.DUMMYFUNCTION("MAX(ARRAYFORMULA(TIMEVALUE(SPLIT(E425,"" ""))))"),0.8125)</f>
        <v>0.8125</v>
      </c>
      <c r="H425" s="45"/>
      <c r="I425" s="45"/>
      <c r="J425" s="46">
        <f t="shared" si="31"/>
        <v>3</v>
      </c>
      <c r="K425" s="27"/>
      <c r="L425" s="38"/>
      <c r="M425" s="38" t="str">
        <f t="shared" si="29"/>
        <v/>
      </c>
      <c r="N425" s="47"/>
      <c r="O425" s="48" t="str">
        <f t="shared" si="30"/>
        <v>Tư</v>
      </c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42">
        <v>20666.0</v>
      </c>
      <c r="B426" s="42" t="s">
        <v>31</v>
      </c>
      <c r="C426" s="42" t="s">
        <v>23</v>
      </c>
      <c r="D426" s="43">
        <v>46261.0</v>
      </c>
      <c r="E426" s="42" t="s">
        <v>358</v>
      </c>
      <c r="F426" s="44">
        <f>IFERROR(__xludf.DUMMYFUNCTION("MIN(ARRAYFORMULA(TIMEVALUE(SPLIT(E426,"" ""))))"),0.34097222222222223)</f>
        <v>0.3409722222</v>
      </c>
      <c r="G426" s="44">
        <f>IFERROR(__xludf.DUMMYFUNCTION("MAX(ARRAYFORMULA(TIMEVALUE(SPLIT(E426,"" ""))))"),0.8125)</f>
        <v>0.8125</v>
      </c>
      <c r="H426" s="42">
        <v>11.0</v>
      </c>
      <c r="I426" s="45"/>
      <c r="J426" s="46">
        <f t="shared" si="31"/>
        <v>3</v>
      </c>
      <c r="K426" s="27"/>
      <c r="L426" s="38"/>
      <c r="M426" s="38" t="str">
        <f t="shared" si="29"/>
        <v/>
      </c>
      <c r="N426" s="47"/>
      <c r="O426" s="48" t="str">
        <f t="shared" si="30"/>
        <v>Năm</v>
      </c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42">
        <v>20666.0</v>
      </c>
      <c r="B427" s="42" t="s">
        <v>31</v>
      </c>
      <c r="C427" s="42" t="s">
        <v>23</v>
      </c>
      <c r="D427" s="43">
        <v>46263.0</v>
      </c>
      <c r="E427" s="42" t="s">
        <v>59</v>
      </c>
      <c r="F427" s="44">
        <f>IFERROR(__xludf.DUMMYFUNCTION("MIN(ARRAYFORMULA(TIMEVALUE(SPLIT(E427,"" ""))))"),0.33402777777777776)</f>
        <v>0.3340277778</v>
      </c>
      <c r="G427" s="44">
        <f>IFERROR(__xludf.DUMMYFUNCTION("MAX(ARRAYFORMULA(TIMEVALUE(SPLIT(E427,"" ""))))"),0.8125)</f>
        <v>0.8125</v>
      </c>
      <c r="H427" s="42">
        <v>1.0</v>
      </c>
      <c r="I427" s="45"/>
      <c r="J427" s="46">
        <f t="shared" si="31"/>
        <v>3</v>
      </c>
      <c r="K427" s="27"/>
      <c r="L427" s="38"/>
      <c r="M427" s="38" t="str">
        <f t="shared" si="29"/>
        <v/>
      </c>
      <c r="N427" s="47"/>
      <c r="O427" s="48" t="str">
        <f t="shared" si="30"/>
        <v>Bảy</v>
      </c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42">
        <v>20666.0</v>
      </c>
      <c r="B428" s="42" t="s">
        <v>31</v>
      </c>
      <c r="C428" s="42" t="s">
        <v>23</v>
      </c>
      <c r="D428" s="43">
        <v>46264.0</v>
      </c>
      <c r="E428" s="42" t="s">
        <v>359</v>
      </c>
      <c r="F428" s="44">
        <f>IFERROR(__xludf.DUMMYFUNCTION("MIN(ARRAYFORMULA(TIMEVALUE(SPLIT(E428,"" ""))))"),0.34097222222222223)</f>
        <v>0.3409722222</v>
      </c>
      <c r="G428" s="44">
        <f>IFERROR(__xludf.DUMMYFUNCTION("MAX(ARRAYFORMULA(TIMEVALUE(SPLIT(E428,"" ""))))"),0.75)</f>
        <v>0.75</v>
      </c>
      <c r="H428" s="42">
        <v>11.0</v>
      </c>
      <c r="I428" s="45"/>
      <c r="J428" s="46">
        <f t="shared" si="31"/>
        <v>2</v>
      </c>
      <c r="K428" s="27"/>
      <c r="L428" s="38"/>
      <c r="M428" s="38">
        <f t="shared" si="29"/>
        <v>1</v>
      </c>
      <c r="N428" s="47"/>
      <c r="O428" s="48" t="str">
        <f t="shared" si="30"/>
        <v>CN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42">
        <v>20666.0</v>
      </c>
      <c r="B429" s="42" t="s">
        <v>31</v>
      </c>
      <c r="C429" s="42" t="s">
        <v>23</v>
      </c>
      <c r="D429" s="43">
        <v>46265.0</v>
      </c>
      <c r="E429" s="42" t="s">
        <v>127</v>
      </c>
      <c r="F429" s="44">
        <f>IFERROR(__xludf.DUMMYFUNCTION("MIN(ARRAYFORMULA(TIMEVALUE(SPLIT(E429,"" ""))))"),0.3298611111111111)</f>
        <v>0.3298611111</v>
      </c>
      <c r="G429" s="44">
        <f>IFERROR(__xludf.DUMMYFUNCTION("MAX(ARRAYFORMULA(TIMEVALUE(SPLIT(E429,"" ""))))"),0.8138888888888889)</f>
        <v>0.8138888889</v>
      </c>
      <c r="H429" s="45"/>
      <c r="I429" s="45"/>
      <c r="J429" s="46">
        <f t="shared" si="31"/>
        <v>3</v>
      </c>
      <c r="K429" s="27"/>
      <c r="L429" s="38"/>
      <c r="M429" s="38" t="str">
        <f t="shared" si="29"/>
        <v/>
      </c>
      <c r="N429" s="47"/>
      <c r="O429" s="48" t="str">
        <f t="shared" si="30"/>
        <v>Hai</v>
      </c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42">
        <v>84974.0</v>
      </c>
      <c r="B430" s="42" t="s">
        <v>72</v>
      </c>
      <c r="C430" s="42" t="s">
        <v>67</v>
      </c>
      <c r="D430" s="43">
        <v>46235.0</v>
      </c>
      <c r="E430" s="42" t="s">
        <v>106</v>
      </c>
      <c r="F430" s="44">
        <f>IFERROR(__xludf.DUMMYFUNCTION("MIN(ARRAYFORMULA(TIMEVALUE(SPLIT(E430,"" ""))))"),0.32222222222222224)</f>
        <v>0.3222222222</v>
      </c>
      <c r="G430" s="44">
        <f>IFERROR(__xludf.DUMMYFUNCTION("MAX(ARRAYFORMULA(TIMEVALUE(SPLIT(E430,"" ""))))"),0.8125)</f>
        <v>0.8125</v>
      </c>
      <c r="H430" s="45"/>
      <c r="I430" s="45"/>
      <c r="J430" s="46">
        <f t="shared" si="31"/>
        <v>3</v>
      </c>
      <c r="K430" s="27"/>
      <c r="L430" s="38"/>
      <c r="M430" s="38" t="str">
        <f t="shared" si="29"/>
        <v/>
      </c>
      <c r="N430" s="47"/>
      <c r="O430" s="48" t="str">
        <f t="shared" si="30"/>
        <v>Bảy</v>
      </c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42">
        <v>84974.0</v>
      </c>
      <c r="B431" s="42" t="s">
        <v>72</v>
      </c>
      <c r="C431" s="42" t="s">
        <v>67</v>
      </c>
      <c r="D431" s="43">
        <v>46236.0</v>
      </c>
      <c r="E431" s="42" t="s">
        <v>360</v>
      </c>
      <c r="F431" s="44">
        <f>IFERROR(__xludf.DUMMYFUNCTION("MIN(ARRAYFORMULA(TIMEVALUE(SPLIT(E431,"" ""))))"),0.3298611111111111)</f>
        <v>0.3298611111</v>
      </c>
      <c r="G431" s="44">
        <f>IFERROR(__xludf.DUMMYFUNCTION("MAX(ARRAYFORMULA(TIMEVALUE(SPLIT(E431,"" ""))))"),0.7583333333333333)</f>
        <v>0.7583333333</v>
      </c>
      <c r="H431" s="45"/>
      <c r="I431" s="45"/>
      <c r="J431" s="46">
        <f t="shared" si="31"/>
        <v>2</v>
      </c>
      <c r="K431" s="27"/>
      <c r="L431" s="38"/>
      <c r="M431" s="38">
        <f t="shared" si="29"/>
        <v>1</v>
      </c>
      <c r="N431" s="47"/>
      <c r="O431" s="48" t="str">
        <f t="shared" si="30"/>
        <v>CN</v>
      </c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42">
        <v>84974.0</v>
      </c>
      <c r="B432" s="42" t="s">
        <v>72</v>
      </c>
      <c r="C432" s="42" t="s">
        <v>67</v>
      </c>
      <c r="D432" s="43">
        <v>46237.0</v>
      </c>
      <c r="E432" s="42" t="s">
        <v>361</v>
      </c>
      <c r="F432" s="44">
        <f>IFERROR(__xludf.DUMMYFUNCTION("MIN(ARRAYFORMULA(TIMEVALUE(SPLIT(E432,"" ""))))"),0.3229166666666667)</f>
        <v>0.3229166667</v>
      </c>
      <c r="G432" s="44">
        <f>IFERROR(__xludf.DUMMYFUNCTION("MAX(ARRAYFORMULA(TIMEVALUE(SPLIT(E432,"" ""))))"),0.8125)</f>
        <v>0.8125</v>
      </c>
      <c r="H432" s="45"/>
      <c r="I432" s="45"/>
      <c r="J432" s="46">
        <f t="shared" si="31"/>
        <v>3</v>
      </c>
      <c r="K432" s="27"/>
      <c r="L432" s="38"/>
      <c r="M432" s="38" t="str">
        <f t="shared" si="29"/>
        <v/>
      </c>
      <c r="N432" s="47"/>
      <c r="O432" s="48" t="str">
        <f t="shared" si="30"/>
        <v>Hai</v>
      </c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42">
        <v>84974.0</v>
      </c>
      <c r="B433" s="42" t="s">
        <v>72</v>
      </c>
      <c r="C433" s="42" t="s">
        <v>67</v>
      </c>
      <c r="D433" s="43">
        <v>46238.0</v>
      </c>
      <c r="E433" s="42" t="s">
        <v>136</v>
      </c>
      <c r="F433" s="44">
        <f>IFERROR(__xludf.DUMMYFUNCTION("MIN(ARRAYFORMULA(TIMEVALUE(SPLIT(E433,"" ""))))"),0.3229166666666667)</f>
        <v>0.3229166667</v>
      </c>
      <c r="G433" s="44">
        <f>IFERROR(__xludf.DUMMYFUNCTION("MAX(ARRAYFORMULA(TIMEVALUE(SPLIT(E433,"" ""))))"),0.8131944444444444)</f>
        <v>0.8131944444</v>
      </c>
      <c r="H433" s="45"/>
      <c r="I433" s="45"/>
      <c r="J433" s="46">
        <f t="shared" si="31"/>
        <v>3</v>
      </c>
      <c r="K433" s="51">
        <v>60.0</v>
      </c>
      <c r="L433" s="38"/>
      <c r="M433" s="38" t="str">
        <f t="shared" si="29"/>
        <v/>
      </c>
      <c r="N433" s="47"/>
      <c r="O433" s="48" t="str">
        <f t="shared" si="30"/>
        <v>Ba</v>
      </c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42">
        <v>84974.0</v>
      </c>
      <c r="B434" s="42" t="s">
        <v>72</v>
      </c>
      <c r="C434" s="42" t="s">
        <v>67</v>
      </c>
      <c r="D434" s="43">
        <v>46240.0</v>
      </c>
      <c r="E434" s="42" t="s">
        <v>340</v>
      </c>
      <c r="F434" s="44">
        <f>IFERROR(__xludf.DUMMYFUNCTION("MIN(ARRAYFORMULA(TIMEVALUE(SPLIT(E434,"" ""))))"),0.32083333333333336)</f>
        <v>0.3208333333</v>
      </c>
      <c r="G434" s="44">
        <f>IFERROR(__xludf.DUMMYFUNCTION("MAX(ARRAYFORMULA(TIMEVALUE(SPLIT(E434,"" ""))))"),0.8131944444444444)</f>
        <v>0.8131944444</v>
      </c>
      <c r="H434" s="45"/>
      <c r="I434" s="45"/>
      <c r="J434" s="46">
        <f t="shared" si="31"/>
        <v>3</v>
      </c>
      <c r="K434" s="27"/>
      <c r="L434" s="38"/>
      <c r="M434" s="38" t="str">
        <f t="shared" si="29"/>
        <v/>
      </c>
      <c r="N434" s="47"/>
      <c r="O434" s="48" t="str">
        <f t="shared" si="30"/>
        <v>Năm</v>
      </c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42">
        <v>84974.0</v>
      </c>
      <c r="B435" s="42" t="s">
        <v>72</v>
      </c>
      <c r="C435" s="42" t="s">
        <v>67</v>
      </c>
      <c r="D435" s="43">
        <v>46241.0</v>
      </c>
      <c r="E435" s="42" t="s">
        <v>362</v>
      </c>
      <c r="F435" s="44">
        <f>IFERROR(__xludf.DUMMYFUNCTION("MIN(ARRAYFORMULA(TIMEVALUE(SPLIT(E435,"" ""))))"),0.3277777777777778)</f>
        <v>0.3277777778</v>
      </c>
      <c r="G435" s="44">
        <f>IFERROR(__xludf.DUMMYFUNCTION("MAX(ARRAYFORMULA(TIMEVALUE(SPLIT(E435,"" ""))))"),0.8138888888888889)</f>
        <v>0.8138888889</v>
      </c>
      <c r="H435" s="45"/>
      <c r="I435" s="45"/>
      <c r="J435" s="46">
        <f t="shared" si="31"/>
        <v>3</v>
      </c>
      <c r="K435" s="27"/>
      <c r="L435" s="38"/>
      <c r="M435" s="38" t="str">
        <f t="shared" si="29"/>
        <v/>
      </c>
      <c r="N435" s="47"/>
      <c r="O435" s="48" t="str">
        <f t="shared" si="30"/>
        <v>Sáu</v>
      </c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42">
        <v>84974.0</v>
      </c>
      <c r="B436" s="42" t="s">
        <v>72</v>
      </c>
      <c r="C436" s="42" t="s">
        <v>67</v>
      </c>
      <c r="D436" s="43">
        <v>46242.0</v>
      </c>
      <c r="E436" s="42" t="s">
        <v>99</v>
      </c>
      <c r="F436" s="44">
        <f>IFERROR(__xludf.DUMMYFUNCTION("MIN(ARRAYFORMULA(TIMEVALUE(SPLIT(E436,"" ""))))"),0.3229166666666667)</f>
        <v>0.3229166667</v>
      </c>
      <c r="G436" s="44">
        <f>IFERROR(__xludf.DUMMYFUNCTION("MAX(ARRAYFORMULA(TIMEVALUE(SPLIT(E436,"" ""))))"),0.8125)</f>
        <v>0.8125</v>
      </c>
      <c r="H436" s="45"/>
      <c r="I436" s="45"/>
      <c r="J436" s="46">
        <f t="shared" si="31"/>
        <v>3</v>
      </c>
      <c r="K436" s="27"/>
      <c r="L436" s="38"/>
      <c r="M436" s="38" t="str">
        <f t="shared" si="29"/>
        <v/>
      </c>
      <c r="N436" s="47"/>
      <c r="O436" s="48" t="str">
        <f t="shared" si="30"/>
        <v>Bảy</v>
      </c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42">
        <v>84974.0</v>
      </c>
      <c r="B437" s="42" t="s">
        <v>72</v>
      </c>
      <c r="C437" s="42" t="s">
        <v>67</v>
      </c>
      <c r="D437" s="43">
        <v>46243.0</v>
      </c>
      <c r="E437" s="42" t="s">
        <v>363</v>
      </c>
      <c r="F437" s="44">
        <f>IFERROR(__xludf.DUMMYFUNCTION("MIN(ARRAYFORMULA(TIMEVALUE(SPLIT(E437,"" ""))))"),0.32222222222222224)</f>
        <v>0.3222222222</v>
      </c>
      <c r="G437" s="44">
        <f>IFERROR(__xludf.DUMMYFUNCTION("MAX(ARRAYFORMULA(TIMEVALUE(SPLIT(E437,"" ""))))"),0.75)</f>
        <v>0.75</v>
      </c>
      <c r="H437" s="45"/>
      <c r="I437" s="45"/>
      <c r="J437" s="46">
        <f t="shared" si="31"/>
        <v>2</v>
      </c>
      <c r="K437" s="27"/>
      <c r="L437" s="38"/>
      <c r="M437" s="38">
        <f t="shared" si="29"/>
        <v>1</v>
      </c>
      <c r="N437" s="47"/>
      <c r="O437" s="48" t="str">
        <f t="shared" si="30"/>
        <v>CN</v>
      </c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42">
        <v>84974.0</v>
      </c>
      <c r="B438" s="42" t="s">
        <v>72</v>
      </c>
      <c r="C438" s="42" t="s">
        <v>67</v>
      </c>
      <c r="D438" s="43">
        <v>46244.0</v>
      </c>
      <c r="E438" s="42" t="s">
        <v>116</v>
      </c>
      <c r="F438" s="44">
        <f>IFERROR(__xludf.DUMMYFUNCTION("MIN(ARRAYFORMULA(TIMEVALUE(SPLIT(E438,"" ""))))"),0.32708333333333334)</f>
        <v>0.3270833333</v>
      </c>
      <c r="G438" s="44">
        <f>IFERROR(__xludf.DUMMYFUNCTION("MAX(ARRAYFORMULA(TIMEVALUE(SPLIT(E438,"" ""))))"),0.8125)</f>
        <v>0.8125</v>
      </c>
      <c r="H438" s="45"/>
      <c r="I438" s="45"/>
      <c r="J438" s="46">
        <f t="shared" si="31"/>
        <v>3</v>
      </c>
      <c r="K438" s="27"/>
      <c r="L438" s="38"/>
      <c r="M438" s="38" t="str">
        <f t="shared" si="29"/>
        <v/>
      </c>
      <c r="N438" s="47"/>
      <c r="O438" s="48" t="str">
        <f t="shared" si="30"/>
        <v>Hai</v>
      </c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42">
        <v>84974.0</v>
      </c>
      <c r="B439" s="42" t="s">
        <v>72</v>
      </c>
      <c r="C439" s="42" t="s">
        <v>67</v>
      </c>
      <c r="D439" s="43">
        <v>46248.0</v>
      </c>
      <c r="E439" s="42" t="s">
        <v>364</v>
      </c>
      <c r="F439" s="44">
        <f>IFERROR(__xludf.DUMMYFUNCTION("MIN(ARRAYFORMULA(TIMEVALUE(SPLIT(E439,"" ""))))"),0.3173611111111111)</f>
        <v>0.3173611111</v>
      </c>
      <c r="G439" s="44">
        <f>IFERROR(__xludf.DUMMYFUNCTION("MAX(ARRAYFORMULA(TIMEVALUE(SPLIT(E439,"" ""))))"),0.8125)</f>
        <v>0.8125</v>
      </c>
      <c r="H439" s="45"/>
      <c r="I439" s="45"/>
      <c r="J439" s="46">
        <f t="shared" si="31"/>
        <v>3</v>
      </c>
      <c r="K439" s="27"/>
      <c r="L439" s="38"/>
      <c r="M439" s="38" t="str">
        <f t="shared" si="29"/>
        <v/>
      </c>
      <c r="N439" s="47"/>
      <c r="O439" s="48" t="str">
        <f t="shared" si="30"/>
        <v>Sáu</v>
      </c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42">
        <v>84974.0</v>
      </c>
      <c r="B440" s="42" t="s">
        <v>72</v>
      </c>
      <c r="C440" s="42" t="s">
        <v>67</v>
      </c>
      <c r="D440" s="43">
        <v>46251.0</v>
      </c>
      <c r="E440" s="42" t="s">
        <v>365</v>
      </c>
      <c r="F440" s="44">
        <f>IFERROR(__xludf.DUMMYFUNCTION("MIN(ARRAYFORMULA(TIMEVALUE(SPLIT(E440,"" ""))))"),0.32222222222222224)</f>
        <v>0.3222222222</v>
      </c>
      <c r="G440" s="44">
        <f>IFERROR(__xludf.DUMMYFUNCTION("MAX(ARRAYFORMULA(TIMEVALUE(SPLIT(E440,"" ""))))"),0.81875)</f>
        <v>0.81875</v>
      </c>
      <c r="H440" s="45"/>
      <c r="I440" s="45"/>
      <c r="J440" s="46">
        <f t="shared" si="31"/>
        <v>3</v>
      </c>
      <c r="K440" s="27"/>
      <c r="L440" s="38"/>
      <c r="M440" s="38" t="str">
        <f t="shared" si="29"/>
        <v/>
      </c>
      <c r="N440" s="47"/>
      <c r="O440" s="48" t="str">
        <f t="shared" si="30"/>
        <v>Hai</v>
      </c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42">
        <v>84974.0</v>
      </c>
      <c r="B441" s="42" t="s">
        <v>72</v>
      </c>
      <c r="C441" s="42" t="s">
        <v>67</v>
      </c>
      <c r="D441" s="43">
        <v>46252.0</v>
      </c>
      <c r="E441" s="42" t="s">
        <v>171</v>
      </c>
      <c r="F441" s="44">
        <f>IFERROR(__xludf.DUMMYFUNCTION("MIN(ARRAYFORMULA(TIMEVALUE(SPLIT(E441,"" ""))))"),0.325)</f>
        <v>0.325</v>
      </c>
      <c r="G441" s="44">
        <f>IFERROR(__xludf.DUMMYFUNCTION("MAX(ARRAYFORMULA(TIMEVALUE(SPLIT(E441,"" ""))))"),0.8125)</f>
        <v>0.8125</v>
      </c>
      <c r="H441" s="45"/>
      <c r="I441" s="45"/>
      <c r="J441" s="46">
        <f t="shared" si="31"/>
        <v>3</v>
      </c>
      <c r="K441" s="27"/>
      <c r="L441" s="38"/>
      <c r="M441" s="38" t="str">
        <f t="shared" si="29"/>
        <v/>
      </c>
      <c r="N441" s="47"/>
      <c r="O441" s="48" t="str">
        <f t="shared" si="30"/>
        <v>Ba</v>
      </c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42">
        <v>84974.0</v>
      </c>
      <c r="B442" s="42" t="s">
        <v>72</v>
      </c>
      <c r="C442" s="42" t="s">
        <v>67</v>
      </c>
      <c r="D442" s="43">
        <v>46253.0</v>
      </c>
      <c r="E442" s="42" t="s">
        <v>366</v>
      </c>
      <c r="F442" s="44">
        <f>IFERROR(__xludf.DUMMYFUNCTION("MIN(ARRAYFORMULA(TIMEVALUE(SPLIT(E442,"" ""))))"),0.5513888888888889)</f>
        <v>0.5513888889</v>
      </c>
      <c r="G442" s="44">
        <f>IFERROR(__xludf.DUMMYFUNCTION("MAX(ARRAYFORMULA(TIMEVALUE(SPLIT(E442,"" ""))))"),0.8131944444444444)</f>
        <v>0.8131944444</v>
      </c>
      <c r="H442" s="45"/>
      <c r="I442" s="45"/>
      <c r="J442" s="46">
        <f t="shared" si="31"/>
        <v>2</v>
      </c>
      <c r="K442" s="27"/>
      <c r="L442" s="38"/>
      <c r="M442" s="38" t="str">
        <f t="shared" si="29"/>
        <v/>
      </c>
      <c r="N442" s="47"/>
      <c r="O442" s="48" t="str">
        <f t="shared" si="30"/>
        <v>Tư</v>
      </c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42">
        <v>84974.0</v>
      </c>
      <c r="B443" s="42" t="s">
        <v>72</v>
      </c>
      <c r="C443" s="42" t="s">
        <v>67</v>
      </c>
      <c r="D443" s="43">
        <v>46254.0</v>
      </c>
      <c r="E443" s="42" t="s">
        <v>113</v>
      </c>
      <c r="F443" s="44">
        <f>IFERROR(__xludf.DUMMYFUNCTION("MIN(ARRAYFORMULA(TIMEVALUE(SPLIT(E443,"" ""))))"),0.32569444444444445)</f>
        <v>0.3256944444</v>
      </c>
      <c r="G443" s="44">
        <f>IFERROR(__xludf.DUMMYFUNCTION("MAX(ARRAYFORMULA(TIMEVALUE(SPLIT(E443,"" ""))))"),0.8131944444444444)</f>
        <v>0.8131944444</v>
      </c>
      <c r="H443" s="45"/>
      <c r="I443" s="45"/>
      <c r="J443" s="46">
        <f t="shared" si="31"/>
        <v>3</v>
      </c>
      <c r="K443" s="27"/>
      <c r="L443" s="38"/>
      <c r="M443" s="38" t="str">
        <f t="shared" si="29"/>
        <v/>
      </c>
      <c r="N443" s="47"/>
      <c r="O443" s="48" t="str">
        <f t="shared" si="30"/>
        <v>Năm</v>
      </c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42">
        <v>84974.0</v>
      </c>
      <c r="B444" s="42" t="s">
        <v>72</v>
      </c>
      <c r="C444" s="42" t="s">
        <v>67</v>
      </c>
      <c r="D444" s="43">
        <v>46255.0</v>
      </c>
      <c r="E444" s="42" t="s">
        <v>367</v>
      </c>
      <c r="F444" s="44">
        <f>IFERROR(__xludf.DUMMYFUNCTION("MIN(ARRAYFORMULA(TIMEVALUE(SPLIT(E444,"" ""))))"),0.3263888888888889)</f>
        <v>0.3263888889</v>
      </c>
      <c r="G444" s="44">
        <f>IFERROR(__xludf.DUMMYFUNCTION("MAX(ARRAYFORMULA(TIMEVALUE(SPLIT(E444,"" ""))))"),0.8131944444444444)</f>
        <v>0.8131944444</v>
      </c>
      <c r="H444" s="45"/>
      <c r="I444" s="45"/>
      <c r="J444" s="46">
        <f t="shared" si="31"/>
        <v>3</v>
      </c>
      <c r="K444" s="27"/>
      <c r="L444" s="38"/>
      <c r="M444" s="38" t="str">
        <f t="shared" si="29"/>
        <v/>
      </c>
      <c r="N444" s="47"/>
      <c r="O444" s="48" t="str">
        <f t="shared" si="30"/>
        <v>Sáu</v>
      </c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42">
        <v>84974.0</v>
      </c>
      <c r="B445" s="42" t="s">
        <v>72</v>
      </c>
      <c r="C445" s="42" t="s">
        <v>67</v>
      </c>
      <c r="D445" s="43">
        <v>46256.0</v>
      </c>
      <c r="E445" s="42" t="s">
        <v>368</v>
      </c>
      <c r="F445" s="44">
        <f>IFERROR(__xludf.DUMMYFUNCTION("MIN(ARRAYFORMULA(TIMEVALUE(SPLIT(E445,"" ""))))"),0.3263888888888889)</f>
        <v>0.3263888889</v>
      </c>
      <c r="G445" s="44">
        <f>IFERROR(__xludf.DUMMYFUNCTION("MAX(ARRAYFORMULA(TIMEVALUE(SPLIT(E445,"" ""))))"),0.8131944444444444)</f>
        <v>0.8131944444</v>
      </c>
      <c r="H445" s="45"/>
      <c r="I445" s="45"/>
      <c r="J445" s="46">
        <f t="shared" si="31"/>
        <v>3</v>
      </c>
      <c r="K445" s="27"/>
      <c r="L445" s="38"/>
      <c r="M445" s="38" t="str">
        <f t="shared" si="29"/>
        <v/>
      </c>
      <c r="N445" s="47"/>
      <c r="O445" s="48" t="str">
        <f t="shared" si="30"/>
        <v>Bảy</v>
      </c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42">
        <v>84974.0</v>
      </c>
      <c r="B446" s="42" t="s">
        <v>72</v>
      </c>
      <c r="C446" s="42" t="s">
        <v>67</v>
      </c>
      <c r="D446" s="43">
        <v>46257.0</v>
      </c>
      <c r="E446" s="42" t="s">
        <v>369</v>
      </c>
      <c r="F446" s="44">
        <f>IFERROR(__xludf.DUMMYFUNCTION("MIN(ARRAYFORMULA(TIMEVALUE(SPLIT(E446,"" ""))))"),0.3298611111111111)</f>
        <v>0.3298611111</v>
      </c>
      <c r="G446" s="44">
        <f>IFERROR(__xludf.DUMMYFUNCTION("MAX(ARRAYFORMULA(TIMEVALUE(SPLIT(E446,"" ""))))"),0.5)</f>
        <v>0.5</v>
      </c>
      <c r="H446" s="45"/>
      <c r="I446" s="45"/>
      <c r="J446" s="46">
        <f t="shared" si="31"/>
        <v>1</v>
      </c>
      <c r="K446" s="27"/>
      <c r="L446" s="51">
        <v>6.0</v>
      </c>
      <c r="M446" s="38" t="str">
        <f t="shared" si="29"/>
        <v/>
      </c>
      <c r="N446" s="47" t="s">
        <v>370</v>
      </c>
      <c r="O446" s="48" t="str">
        <f t="shared" si="30"/>
        <v>CN</v>
      </c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42">
        <v>84974.0</v>
      </c>
      <c r="B447" s="42" t="s">
        <v>72</v>
      </c>
      <c r="C447" s="42" t="s">
        <v>67</v>
      </c>
      <c r="D447" s="43">
        <v>46261.0</v>
      </c>
      <c r="E447" s="42" t="s">
        <v>205</v>
      </c>
      <c r="F447" s="44">
        <f>IFERROR(__xludf.DUMMYFUNCTION("MIN(ARRAYFORMULA(TIMEVALUE(SPLIT(E447,"" ""))))"),0.31875)</f>
        <v>0.31875</v>
      </c>
      <c r="G447" s="44">
        <f>IFERROR(__xludf.DUMMYFUNCTION("MAX(ARRAYFORMULA(TIMEVALUE(SPLIT(E447,"" ""))))"),0.8125)</f>
        <v>0.8125</v>
      </c>
      <c r="H447" s="45"/>
      <c r="I447" s="45"/>
      <c r="J447" s="46">
        <f t="shared" si="31"/>
        <v>3</v>
      </c>
      <c r="K447" s="27"/>
      <c r="L447" s="38"/>
      <c r="M447" s="38" t="str">
        <f t="shared" si="29"/>
        <v/>
      </c>
      <c r="N447" s="47"/>
      <c r="O447" s="48" t="str">
        <f t="shared" si="30"/>
        <v>Năm</v>
      </c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42">
        <v>84974.0</v>
      </c>
      <c r="B448" s="42" t="s">
        <v>72</v>
      </c>
      <c r="C448" s="42" t="s">
        <v>67</v>
      </c>
      <c r="D448" s="43">
        <v>46262.0</v>
      </c>
      <c r="E448" s="42" t="s">
        <v>101</v>
      </c>
      <c r="F448" s="44">
        <f>IFERROR(__xludf.DUMMYFUNCTION("MIN(ARRAYFORMULA(TIMEVALUE(SPLIT(E448,"" ""))))"),0.3263888888888889)</f>
        <v>0.3263888889</v>
      </c>
      <c r="G448" s="44">
        <f>IFERROR(__xludf.DUMMYFUNCTION("MAX(ARRAYFORMULA(TIMEVALUE(SPLIT(E448,"" ""))))"),0.8125)</f>
        <v>0.8125</v>
      </c>
      <c r="H448" s="45"/>
      <c r="I448" s="45"/>
      <c r="J448" s="46">
        <f t="shared" si="31"/>
        <v>3</v>
      </c>
      <c r="K448" s="27"/>
      <c r="L448" s="38"/>
      <c r="M448" s="38" t="str">
        <f t="shared" si="29"/>
        <v/>
      </c>
      <c r="N448" s="47"/>
      <c r="O448" s="48" t="str">
        <f t="shared" si="30"/>
        <v>Sáu</v>
      </c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42">
        <v>84974.0</v>
      </c>
      <c r="B449" s="42" t="s">
        <v>72</v>
      </c>
      <c r="C449" s="42" t="s">
        <v>67</v>
      </c>
      <c r="D449" s="43">
        <v>46263.0</v>
      </c>
      <c r="E449" s="42" t="s">
        <v>371</v>
      </c>
      <c r="F449" s="44">
        <f>IFERROR(__xludf.DUMMYFUNCTION("MIN(ARRAYFORMULA(TIMEVALUE(SPLIT(E449,"" ""))))"),0.3229166666666667)</f>
        <v>0.3229166667</v>
      </c>
      <c r="G449" s="44">
        <f>IFERROR(__xludf.DUMMYFUNCTION("MAX(ARRAYFORMULA(TIMEVALUE(SPLIT(E449,"" ""))))"),0.7298611111111111)</f>
        <v>0.7298611111</v>
      </c>
      <c r="H449" s="45"/>
      <c r="I449" s="45"/>
      <c r="J449" s="46">
        <f t="shared" si="31"/>
        <v>2</v>
      </c>
      <c r="K449" s="27"/>
      <c r="L449" s="38"/>
      <c r="M449" s="38" t="str">
        <f t="shared" si="29"/>
        <v/>
      </c>
      <c r="N449" s="47"/>
      <c r="O449" s="48" t="str">
        <f t="shared" si="30"/>
        <v>Bảy</v>
      </c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42">
        <v>84974.0</v>
      </c>
      <c r="B450" s="42" t="s">
        <v>72</v>
      </c>
      <c r="C450" s="42" t="s">
        <v>67</v>
      </c>
      <c r="D450" s="43">
        <v>46264.0</v>
      </c>
      <c r="E450" s="42" t="s">
        <v>372</v>
      </c>
      <c r="F450" s="44">
        <f>IFERROR(__xludf.DUMMYFUNCTION("MIN(ARRAYFORMULA(TIMEVALUE(SPLIT(E450,"" ""))))"),0.33194444444444443)</f>
        <v>0.3319444444</v>
      </c>
      <c r="G450" s="44">
        <f>IFERROR(__xludf.DUMMYFUNCTION("MAX(ARRAYFORMULA(TIMEVALUE(SPLIT(E450,"" ""))))"),0.75)</f>
        <v>0.75</v>
      </c>
      <c r="H450" s="45"/>
      <c r="I450" s="45"/>
      <c r="J450" s="46">
        <f t="shared" si="31"/>
        <v>2</v>
      </c>
      <c r="K450" s="27"/>
      <c r="L450" s="38"/>
      <c r="M450" s="38">
        <f t="shared" si="29"/>
        <v>1</v>
      </c>
      <c r="N450" s="47"/>
      <c r="O450" s="48" t="str">
        <f t="shared" si="30"/>
        <v>CN</v>
      </c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42">
        <v>84974.0</v>
      </c>
      <c r="B451" s="42" t="s">
        <v>72</v>
      </c>
      <c r="C451" s="42" t="s">
        <v>67</v>
      </c>
      <c r="D451" s="43">
        <v>46265.0</v>
      </c>
      <c r="E451" s="42" t="s">
        <v>373</v>
      </c>
      <c r="F451" s="44">
        <f>IFERROR(__xludf.DUMMYFUNCTION("MIN(ARRAYFORMULA(TIMEVALUE(SPLIT(E451,"" ""))))"),0.32430555555555557)</f>
        <v>0.3243055556</v>
      </c>
      <c r="G451" s="44">
        <f>IFERROR(__xludf.DUMMYFUNCTION("MAX(ARRAYFORMULA(TIMEVALUE(SPLIT(E451,"" ""))))"),0.8131944444444444)</f>
        <v>0.8131944444</v>
      </c>
      <c r="H451" s="45"/>
      <c r="I451" s="45"/>
      <c r="J451" s="46">
        <f t="shared" si="31"/>
        <v>3</v>
      </c>
      <c r="K451" s="27"/>
      <c r="L451" s="38"/>
      <c r="M451" s="38" t="str">
        <f t="shared" si="29"/>
        <v/>
      </c>
      <c r="N451" s="47"/>
      <c r="O451" s="48" t="str">
        <f t="shared" si="30"/>
        <v>Hai</v>
      </c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42">
        <v>99238.0</v>
      </c>
      <c r="B452" s="42" t="s">
        <v>85</v>
      </c>
      <c r="C452" s="42" t="s">
        <v>67</v>
      </c>
      <c r="D452" s="43">
        <v>46236.0</v>
      </c>
      <c r="E452" s="42" t="s">
        <v>374</v>
      </c>
      <c r="F452" s="44">
        <f>IFERROR(__xludf.DUMMYFUNCTION("MIN(ARRAYFORMULA(TIMEVALUE(SPLIT(E452,"" ""))))"),0.3229166666666667)</f>
        <v>0.3229166667</v>
      </c>
      <c r="G452" s="44">
        <f>IFERROR(__xludf.DUMMYFUNCTION("MAX(ARRAYFORMULA(TIMEVALUE(SPLIT(E452,"" ""))))"),0.75)</f>
        <v>0.75</v>
      </c>
      <c r="H452" s="45"/>
      <c r="I452" s="45"/>
      <c r="J452" s="46">
        <f t="shared" si="31"/>
        <v>2</v>
      </c>
      <c r="K452" s="27"/>
      <c r="L452" s="38"/>
      <c r="M452" s="38">
        <f t="shared" si="29"/>
        <v>1</v>
      </c>
      <c r="N452" s="47"/>
      <c r="O452" s="48" t="str">
        <f t="shared" si="30"/>
        <v>CN</v>
      </c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42">
        <v>99238.0</v>
      </c>
      <c r="B453" s="42" t="s">
        <v>85</v>
      </c>
      <c r="C453" s="42" t="s">
        <v>67</v>
      </c>
      <c r="D453" s="43">
        <v>46237.0</v>
      </c>
      <c r="E453" s="42" t="s">
        <v>375</v>
      </c>
      <c r="F453" s="44">
        <f>IFERROR(__xludf.DUMMYFUNCTION("MIN(ARRAYFORMULA(TIMEVALUE(SPLIT(E453,"" ""))))"),0.3194444444444444)</f>
        <v>0.3194444444</v>
      </c>
      <c r="G453" s="44">
        <f>IFERROR(__xludf.DUMMYFUNCTION("MAX(ARRAYFORMULA(TIMEVALUE(SPLIT(E453,"" ""))))"),0.8131944444444444)</f>
        <v>0.8131944444</v>
      </c>
      <c r="H453" s="45"/>
      <c r="I453" s="45"/>
      <c r="J453" s="46">
        <f t="shared" si="31"/>
        <v>3</v>
      </c>
      <c r="K453" s="27"/>
      <c r="L453" s="38"/>
      <c r="M453" s="38" t="str">
        <f t="shared" si="29"/>
        <v/>
      </c>
      <c r="N453" s="47"/>
      <c r="O453" s="48" t="str">
        <f t="shared" si="30"/>
        <v>Hai</v>
      </c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42">
        <v>99238.0</v>
      </c>
      <c r="B454" s="42" t="s">
        <v>85</v>
      </c>
      <c r="C454" s="42" t="s">
        <v>67</v>
      </c>
      <c r="D454" s="43">
        <v>46239.0</v>
      </c>
      <c r="E454" s="42" t="s">
        <v>376</v>
      </c>
      <c r="F454" s="44">
        <f>IFERROR(__xludf.DUMMYFUNCTION("MIN(ARRAYFORMULA(TIMEVALUE(SPLIT(E454,"" ""))))"),0.31527777777777777)</f>
        <v>0.3152777778</v>
      </c>
      <c r="G454" s="44">
        <f>IFERROR(__xludf.DUMMYFUNCTION("MAX(ARRAYFORMULA(TIMEVALUE(SPLIT(E454,"" ""))))"),0.8145833333333333)</f>
        <v>0.8145833333</v>
      </c>
      <c r="H454" s="45"/>
      <c r="I454" s="45"/>
      <c r="J454" s="46">
        <f t="shared" si="31"/>
        <v>3</v>
      </c>
      <c r="K454" s="27"/>
      <c r="L454" s="38"/>
      <c r="M454" s="38" t="str">
        <f t="shared" si="29"/>
        <v/>
      </c>
      <c r="N454" s="47"/>
      <c r="O454" s="48" t="str">
        <f t="shared" si="30"/>
        <v>Tư</v>
      </c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42">
        <v>99238.0</v>
      </c>
      <c r="B455" s="42" t="s">
        <v>85</v>
      </c>
      <c r="C455" s="42" t="s">
        <v>67</v>
      </c>
      <c r="D455" s="43">
        <v>46240.0</v>
      </c>
      <c r="E455" s="42" t="s">
        <v>377</v>
      </c>
      <c r="F455" s="44">
        <f>IFERROR(__xludf.DUMMYFUNCTION("MIN(ARRAYFORMULA(TIMEVALUE(SPLIT(E455,"" ""))))"),0.32222222222222224)</f>
        <v>0.3222222222</v>
      </c>
      <c r="G455" s="44">
        <f>IFERROR(__xludf.DUMMYFUNCTION("MAX(ARRAYFORMULA(TIMEVALUE(SPLIT(E455,"" ""))))"),0.8131944444444444)</f>
        <v>0.8131944444</v>
      </c>
      <c r="H455" s="45"/>
      <c r="I455" s="45"/>
      <c r="J455" s="46">
        <f t="shared" si="31"/>
        <v>3</v>
      </c>
      <c r="K455" s="27"/>
      <c r="L455" s="38"/>
      <c r="M455" s="38" t="str">
        <f t="shared" si="29"/>
        <v/>
      </c>
      <c r="N455" s="47"/>
      <c r="O455" s="48" t="str">
        <f t="shared" si="30"/>
        <v>Năm</v>
      </c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42">
        <v>99238.0</v>
      </c>
      <c r="B456" s="42" t="s">
        <v>85</v>
      </c>
      <c r="C456" s="42" t="s">
        <v>67</v>
      </c>
      <c r="D456" s="43">
        <v>46241.0</v>
      </c>
      <c r="E456" s="42" t="s">
        <v>197</v>
      </c>
      <c r="F456" s="44">
        <f>IFERROR(__xludf.DUMMYFUNCTION("MIN(ARRAYFORMULA(TIMEVALUE(SPLIT(E456,"" ""))))"),0.3215277777777778)</f>
        <v>0.3215277778</v>
      </c>
      <c r="G456" s="44">
        <f>IFERROR(__xludf.DUMMYFUNCTION("MAX(ARRAYFORMULA(TIMEVALUE(SPLIT(E456,"" ""))))"),0.8131944444444444)</f>
        <v>0.8131944444</v>
      </c>
      <c r="H456" s="45"/>
      <c r="I456" s="45"/>
      <c r="J456" s="46">
        <f t="shared" si="31"/>
        <v>3</v>
      </c>
      <c r="K456" s="27"/>
      <c r="L456" s="38"/>
      <c r="M456" s="38" t="str">
        <f t="shared" si="29"/>
        <v/>
      </c>
      <c r="N456" s="47"/>
      <c r="O456" s="48" t="str">
        <f t="shared" si="30"/>
        <v>Sáu</v>
      </c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42">
        <v>99238.0</v>
      </c>
      <c r="B457" s="42" t="s">
        <v>85</v>
      </c>
      <c r="C457" s="42" t="s">
        <v>67</v>
      </c>
      <c r="D457" s="43">
        <v>46242.0</v>
      </c>
      <c r="E457" s="42" t="s">
        <v>378</v>
      </c>
      <c r="F457" s="44">
        <f>IFERROR(__xludf.DUMMYFUNCTION("MIN(ARRAYFORMULA(TIMEVALUE(SPLIT(E457,"" ""))))"),0.32083333333333336)</f>
        <v>0.3208333333</v>
      </c>
      <c r="G457" s="44">
        <f>IFERROR(__xludf.DUMMYFUNCTION("MAX(ARRAYFORMULA(TIMEVALUE(SPLIT(E457,"" ""))))"),0.8125)</f>
        <v>0.8125</v>
      </c>
      <c r="H457" s="45"/>
      <c r="I457" s="45"/>
      <c r="J457" s="46">
        <f t="shared" si="31"/>
        <v>3</v>
      </c>
      <c r="K457" s="27"/>
      <c r="L457" s="38"/>
      <c r="M457" s="38" t="str">
        <f t="shared" si="29"/>
        <v/>
      </c>
      <c r="N457" s="47"/>
      <c r="O457" s="48" t="str">
        <f t="shared" si="30"/>
        <v>Bảy</v>
      </c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42">
        <v>99238.0</v>
      </c>
      <c r="B458" s="42" t="s">
        <v>85</v>
      </c>
      <c r="C458" s="42" t="s">
        <v>67</v>
      </c>
      <c r="D458" s="43">
        <v>46243.0</v>
      </c>
      <c r="E458" s="42" t="s">
        <v>379</v>
      </c>
      <c r="F458" s="44">
        <f>IFERROR(__xludf.DUMMYFUNCTION("MIN(ARRAYFORMULA(TIMEVALUE(SPLIT(E458,"" ""))))"),0.3263888888888889)</f>
        <v>0.3263888889</v>
      </c>
      <c r="G458" s="44">
        <f>IFERROR(__xludf.DUMMYFUNCTION("MAX(ARRAYFORMULA(TIMEVALUE(SPLIT(E458,"" ""))))"),0.7506944444444444)</f>
        <v>0.7506944444</v>
      </c>
      <c r="H458" s="45"/>
      <c r="I458" s="45"/>
      <c r="J458" s="46">
        <f t="shared" si="31"/>
        <v>2</v>
      </c>
      <c r="K458" s="27"/>
      <c r="L458" s="38"/>
      <c r="M458" s="38">
        <f t="shared" si="29"/>
        <v>1</v>
      </c>
      <c r="N458" s="47"/>
      <c r="O458" s="48" t="str">
        <f t="shared" si="30"/>
        <v>CN</v>
      </c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42">
        <v>99238.0</v>
      </c>
      <c r="B459" s="42" t="s">
        <v>85</v>
      </c>
      <c r="C459" s="42" t="s">
        <v>67</v>
      </c>
      <c r="D459" s="43">
        <v>46244.0</v>
      </c>
      <c r="E459" s="42" t="s">
        <v>380</v>
      </c>
      <c r="F459" s="44">
        <f>IFERROR(__xludf.DUMMYFUNCTION("MIN(ARRAYFORMULA(TIMEVALUE(SPLIT(E459,"" ""))))"),0.32430555555555557)</f>
        <v>0.3243055556</v>
      </c>
      <c r="G459" s="44">
        <f>IFERROR(__xludf.DUMMYFUNCTION("MAX(ARRAYFORMULA(TIMEVALUE(SPLIT(E459,"" ""))))"),0.8125)</f>
        <v>0.8125</v>
      </c>
      <c r="H459" s="45"/>
      <c r="I459" s="45"/>
      <c r="J459" s="46">
        <f t="shared" si="31"/>
        <v>3</v>
      </c>
      <c r="K459" s="27"/>
      <c r="L459" s="38"/>
      <c r="M459" s="38" t="str">
        <f t="shared" si="29"/>
        <v/>
      </c>
      <c r="N459" s="47"/>
      <c r="O459" s="48" t="str">
        <f t="shared" si="30"/>
        <v>Hai</v>
      </c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42">
        <v>99238.0</v>
      </c>
      <c r="B460" s="42" t="s">
        <v>85</v>
      </c>
      <c r="C460" s="42" t="s">
        <v>67</v>
      </c>
      <c r="D460" s="43">
        <v>46248.0</v>
      </c>
      <c r="E460" s="42" t="s">
        <v>381</v>
      </c>
      <c r="F460" s="44">
        <f>IFERROR(__xludf.DUMMYFUNCTION("MIN(ARRAYFORMULA(TIMEVALUE(SPLIT(E460,"" ""))))"),0.29097222222222224)</f>
        <v>0.2909722222</v>
      </c>
      <c r="G460" s="44">
        <f>IFERROR(__xludf.DUMMYFUNCTION("MAX(ARRAYFORMULA(TIMEVALUE(SPLIT(E460,"" ""))))"),0.8125)</f>
        <v>0.8125</v>
      </c>
      <c r="H460" s="45"/>
      <c r="I460" s="45"/>
      <c r="J460" s="46">
        <f t="shared" si="31"/>
        <v>3</v>
      </c>
      <c r="K460" s="27"/>
      <c r="L460" s="38"/>
      <c r="M460" s="38" t="str">
        <f t="shared" si="29"/>
        <v/>
      </c>
      <c r="N460" s="47"/>
      <c r="O460" s="48" t="str">
        <f t="shared" si="30"/>
        <v>Sáu</v>
      </c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42">
        <v>99238.0</v>
      </c>
      <c r="B461" s="42" t="s">
        <v>85</v>
      </c>
      <c r="C461" s="42" t="s">
        <v>67</v>
      </c>
      <c r="D461" s="43">
        <v>46249.0</v>
      </c>
      <c r="E461" s="42" t="s">
        <v>382</v>
      </c>
      <c r="F461" s="44">
        <f>IFERROR(__xludf.DUMMYFUNCTION("MIN(ARRAYFORMULA(TIMEVALUE(SPLIT(E461,"" ""))))"),0.3277777777777778)</f>
        <v>0.3277777778</v>
      </c>
      <c r="G461" s="44">
        <f>IFERROR(__xludf.DUMMYFUNCTION("MAX(ARRAYFORMULA(TIMEVALUE(SPLIT(E461,"" ""))))"),0.8131944444444444)</f>
        <v>0.8131944444</v>
      </c>
      <c r="H461" s="45"/>
      <c r="I461" s="45"/>
      <c r="J461" s="46">
        <f t="shared" si="31"/>
        <v>3</v>
      </c>
      <c r="K461" s="27"/>
      <c r="L461" s="38"/>
      <c r="M461" s="38" t="str">
        <f t="shared" si="29"/>
        <v/>
      </c>
      <c r="N461" s="47"/>
      <c r="O461" s="48" t="str">
        <f t="shared" si="30"/>
        <v>Bảy</v>
      </c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42">
        <v>99238.0</v>
      </c>
      <c r="B462" s="42" t="s">
        <v>85</v>
      </c>
      <c r="C462" s="42" t="s">
        <v>67</v>
      </c>
      <c r="D462" s="43">
        <v>46250.0</v>
      </c>
      <c r="E462" s="42" t="s">
        <v>383</v>
      </c>
      <c r="F462" s="44">
        <f>IFERROR(__xludf.DUMMYFUNCTION("MIN(ARRAYFORMULA(TIMEVALUE(SPLIT(E462,"" ""))))"),0.32083333333333336)</f>
        <v>0.3208333333</v>
      </c>
      <c r="G462" s="44">
        <f>IFERROR(__xludf.DUMMYFUNCTION("MAX(ARRAYFORMULA(TIMEVALUE(SPLIT(E462,"" ""))))"),0.75)</f>
        <v>0.75</v>
      </c>
      <c r="H462" s="45"/>
      <c r="I462" s="45"/>
      <c r="J462" s="46">
        <f t="shared" si="31"/>
        <v>2</v>
      </c>
      <c r="K462" s="27"/>
      <c r="L462" s="38"/>
      <c r="M462" s="38">
        <f t="shared" si="29"/>
        <v>1</v>
      </c>
      <c r="N462" s="47"/>
      <c r="O462" s="48" t="str">
        <f t="shared" si="30"/>
        <v>CN</v>
      </c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42">
        <v>99238.0</v>
      </c>
      <c r="B463" s="42" t="s">
        <v>85</v>
      </c>
      <c r="C463" s="42" t="s">
        <v>67</v>
      </c>
      <c r="D463" s="43">
        <v>46251.0</v>
      </c>
      <c r="E463" s="42" t="s">
        <v>384</v>
      </c>
      <c r="F463" s="44">
        <f>IFERROR(__xludf.DUMMYFUNCTION("MIN(ARRAYFORMULA(TIMEVALUE(SPLIT(E463,"" ""))))"),0.3229166666666667)</f>
        <v>0.3229166667</v>
      </c>
      <c r="G463" s="44">
        <f>IFERROR(__xludf.DUMMYFUNCTION("MAX(ARRAYFORMULA(TIMEVALUE(SPLIT(E463,"" ""))))"),0.8166666666666667)</f>
        <v>0.8166666667</v>
      </c>
      <c r="H463" s="45"/>
      <c r="I463" s="45"/>
      <c r="J463" s="46">
        <f t="shared" si="31"/>
        <v>3</v>
      </c>
      <c r="K463" s="27"/>
      <c r="L463" s="38"/>
      <c r="M463" s="38" t="str">
        <f t="shared" si="29"/>
        <v/>
      </c>
      <c r="N463" s="47"/>
      <c r="O463" s="48" t="str">
        <f t="shared" si="30"/>
        <v>Hai</v>
      </c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42">
        <v>99238.0</v>
      </c>
      <c r="B464" s="42" t="s">
        <v>85</v>
      </c>
      <c r="C464" s="42" t="s">
        <v>67</v>
      </c>
      <c r="D464" s="43">
        <v>46253.0</v>
      </c>
      <c r="E464" s="42" t="s">
        <v>385</v>
      </c>
      <c r="F464" s="44">
        <f>IFERROR(__xludf.DUMMYFUNCTION("MIN(ARRAYFORMULA(TIMEVALUE(SPLIT(E464,"" ""))))"),0.32430555555555557)</f>
        <v>0.3243055556</v>
      </c>
      <c r="G464" s="44">
        <f>IFERROR(__xludf.DUMMYFUNCTION("MAX(ARRAYFORMULA(TIMEVALUE(SPLIT(E464,"" ""))))"),0.8131944444444444)</f>
        <v>0.8131944444</v>
      </c>
      <c r="H464" s="45"/>
      <c r="I464" s="45"/>
      <c r="J464" s="46">
        <f t="shared" si="31"/>
        <v>3</v>
      </c>
      <c r="K464" s="27"/>
      <c r="L464" s="38"/>
      <c r="M464" s="38" t="str">
        <f t="shared" si="29"/>
        <v/>
      </c>
      <c r="N464" s="47"/>
      <c r="O464" s="48" t="str">
        <f t="shared" si="30"/>
        <v>Tư</v>
      </c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42">
        <v>99238.0</v>
      </c>
      <c r="B465" s="42" t="s">
        <v>85</v>
      </c>
      <c r="C465" s="42" t="s">
        <v>67</v>
      </c>
      <c r="D465" s="43">
        <v>46254.0</v>
      </c>
      <c r="E465" s="42" t="s">
        <v>386</v>
      </c>
      <c r="F465" s="44">
        <f>IFERROR(__xludf.DUMMYFUNCTION("MIN(ARRAYFORMULA(TIMEVALUE(SPLIT(E465,"" ""))))"),0.3236111111111111)</f>
        <v>0.3236111111</v>
      </c>
      <c r="G465" s="44">
        <f>IFERROR(__xludf.DUMMYFUNCTION("MAX(ARRAYFORMULA(TIMEVALUE(SPLIT(E465,"" ""))))"),0.8125)</f>
        <v>0.8125</v>
      </c>
      <c r="H465" s="45"/>
      <c r="I465" s="45"/>
      <c r="J465" s="46">
        <f t="shared" si="31"/>
        <v>3</v>
      </c>
      <c r="K465" s="27"/>
      <c r="L465" s="38"/>
      <c r="M465" s="38" t="str">
        <f t="shared" si="29"/>
        <v/>
      </c>
      <c r="N465" s="47"/>
      <c r="O465" s="48" t="str">
        <f t="shared" si="30"/>
        <v>Năm</v>
      </c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42">
        <v>99238.0</v>
      </c>
      <c r="B466" s="42" t="s">
        <v>85</v>
      </c>
      <c r="C466" s="42" t="s">
        <v>67</v>
      </c>
      <c r="D466" s="43">
        <v>46255.0</v>
      </c>
      <c r="E466" s="42" t="s">
        <v>387</v>
      </c>
      <c r="F466" s="44">
        <f>IFERROR(__xludf.DUMMYFUNCTION("MIN(ARRAYFORMULA(TIMEVALUE(SPLIT(E466,"" ""))))"),0.3229166666666667)</f>
        <v>0.3229166667</v>
      </c>
      <c r="G466" s="44">
        <f>IFERROR(__xludf.DUMMYFUNCTION("MAX(ARRAYFORMULA(TIMEVALUE(SPLIT(E466,"" ""))))"),0.8131944444444444)</f>
        <v>0.8131944444</v>
      </c>
      <c r="H466" s="45"/>
      <c r="I466" s="45"/>
      <c r="J466" s="46">
        <f t="shared" si="31"/>
        <v>3</v>
      </c>
      <c r="K466" s="27"/>
      <c r="L466" s="38"/>
      <c r="M466" s="38" t="str">
        <f t="shared" si="29"/>
        <v/>
      </c>
      <c r="N466" s="47"/>
      <c r="O466" s="48" t="str">
        <f t="shared" si="30"/>
        <v>Sáu</v>
      </c>
      <c r="P466" s="23">
        <v>2.0</v>
      </c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42">
        <v>99238.0</v>
      </c>
      <c r="B467" s="42" t="s">
        <v>85</v>
      </c>
      <c r="C467" s="42" t="s">
        <v>67</v>
      </c>
      <c r="D467" s="43">
        <v>46256.0</v>
      </c>
      <c r="E467" s="42" t="s">
        <v>388</v>
      </c>
      <c r="F467" s="44">
        <f>IFERROR(__xludf.DUMMYFUNCTION("MIN(ARRAYFORMULA(TIMEVALUE(SPLIT(E467,"" ""))))"),0.32083333333333336)</f>
        <v>0.3208333333</v>
      </c>
      <c r="G467" s="44">
        <f>IFERROR(__xludf.DUMMYFUNCTION("MAX(ARRAYFORMULA(TIMEVALUE(SPLIT(E467,"" ""))))"),0.8131944444444444)</f>
        <v>0.8131944444</v>
      </c>
      <c r="H467" s="45"/>
      <c r="I467" s="45"/>
      <c r="J467" s="46">
        <f t="shared" si="31"/>
        <v>3</v>
      </c>
      <c r="K467" s="27"/>
      <c r="L467" s="38"/>
      <c r="M467" s="38" t="str">
        <f t="shared" si="29"/>
        <v/>
      </c>
      <c r="N467" s="47"/>
      <c r="O467" s="48" t="str">
        <f t="shared" si="30"/>
        <v>Bảy</v>
      </c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42">
        <v>99238.0</v>
      </c>
      <c r="B468" s="42" t="s">
        <v>85</v>
      </c>
      <c r="C468" s="42" t="s">
        <v>67</v>
      </c>
      <c r="D468" s="43">
        <v>46257.0</v>
      </c>
      <c r="E468" s="42" t="s">
        <v>389</v>
      </c>
      <c r="F468" s="44">
        <f>IFERROR(__xludf.DUMMYFUNCTION("MIN(ARRAYFORMULA(TIMEVALUE(SPLIT(E468,"" ""))))"),0.3236111111111111)</f>
        <v>0.3236111111</v>
      </c>
      <c r="G468" s="44">
        <f>IFERROR(__xludf.DUMMYFUNCTION("MAX(ARRAYFORMULA(TIMEVALUE(SPLIT(E468,"" ""))))"),0.5006944444444444)</f>
        <v>0.5006944444</v>
      </c>
      <c r="H468" s="45"/>
      <c r="I468" s="45"/>
      <c r="J468" s="46">
        <f t="shared" si="31"/>
        <v>1</v>
      </c>
      <c r="K468" s="27"/>
      <c r="L468" s="51">
        <v>1.0</v>
      </c>
      <c r="M468" s="38" t="str">
        <f t="shared" si="29"/>
        <v/>
      </c>
      <c r="N468" s="47" t="s">
        <v>390</v>
      </c>
      <c r="O468" s="48" t="str">
        <f t="shared" si="30"/>
        <v>CN</v>
      </c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42">
        <v>99238.0</v>
      </c>
      <c r="B469" s="42" t="s">
        <v>85</v>
      </c>
      <c r="C469" s="42" t="s">
        <v>67</v>
      </c>
      <c r="D469" s="43">
        <v>46258.0</v>
      </c>
      <c r="E469" s="42" t="s">
        <v>391</v>
      </c>
      <c r="F469" s="44">
        <f>IFERROR(__xludf.DUMMYFUNCTION("MIN(ARRAYFORMULA(TIMEVALUE(SPLIT(E469,"" ""))))"),0.31666666666666665)</f>
        <v>0.3166666667</v>
      </c>
      <c r="G469" s="44">
        <f>IFERROR(__xludf.DUMMYFUNCTION("MAX(ARRAYFORMULA(TIMEVALUE(SPLIT(E469,"" ""))))"),0.8152777777777778)</f>
        <v>0.8152777778</v>
      </c>
      <c r="H469" s="45"/>
      <c r="I469" s="45"/>
      <c r="J469" s="46">
        <f t="shared" si="31"/>
        <v>3</v>
      </c>
      <c r="K469" s="27"/>
      <c r="L469" s="38"/>
      <c r="M469" s="38" t="str">
        <f t="shared" si="29"/>
        <v/>
      </c>
      <c r="N469" s="47"/>
      <c r="O469" s="48" t="str">
        <f t="shared" si="30"/>
        <v>Hai</v>
      </c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42">
        <v>99238.0</v>
      </c>
      <c r="B470" s="42" t="s">
        <v>85</v>
      </c>
      <c r="C470" s="42" t="s">
        <v>67</v>
      </c>
      <c r="D470" s="43">
        <v>46260.0</v>
      </c>
      <c r="E470" s="42" t="s">
        <v>392</v>
      </c>
      <c r="F470" s="44">
        <f>IFERROR(__xludf.DUMMYFUNCTION("MIN(ARRAYFORMULA(TIMEVALUE(SPLIT(E470,"" ""))))"),0.325)</f>
        <v>0.325</v>
      </c>
      <c r="G470" s="44">
        <f>IFERROR(__xludf.DUMMYFUNCTION("MAX(ARRAYFORMULA(TIMEVALUE(SPLIT(E470,"" ""))))"),0.8125)</f>
        <v>0.8125</v>
      </c>
      <c r="H470" s="45"/>
      <c r="I470" s="45"/>
      <c r="J470" s="46">
        <f t="shared" si="31"/>
        <v>3</v>
      </c>
      <c r="K470" s="27"/>
      <c r="L470" s="38"/>
      <c r="M470" s="38" t="str">
        <f t="shared" si="29"/>
        <v/>
      </c>
      <c r="N470" s="47"/>
      <c r="O470" s="48" t="str">
        <f t="shared" si="30"/>
        <v>Tư</v>
      </c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42">
        <v>99238.0</v>
      </c>
      <c r="B471" s="42" t="s">
        <v>85</v>
      </c>
      <c r="C471" s="42" t="s">
        <v>67</v>
      </c>
      <c r="D471" s="43">
        <v>46261.0</v>
      </c>
      <c r="E471" s="42" t="s">
        <v>116</v>
      </c>
      <c r="F471" s="44">
        <f>IFERROR(__xludf.DUMMYFUNCTION("MIN(ARRAYFORMULA(TIMEVALUE(SPLIT(E471,"" ""))))"),0.32708333333333334)</f>
        <v>0.3270833333</v>
      </c>
      <c r="G471" s="44">
        <f>IFERROR(__xludf.DUMMYFUNCTION("MAX(ARRAYFORMULA(TIMEVALUE(SPLIT(E471,"" ""))))"),0.8125)</f>
        <v>0.8125</v>
      </c>
      <c r="H471" s="45"/>
      <c r="I471" s="45"/>
      <c r="J471" s="46">
        <f t="shared" si="31"/>
        <v>3</v>
      </c>
      <c r="K471" s="27"/>
      <c r="L471" s="38"/>
      <c r="M471" s="38" t="str">
        <f t="shared" si="29"/>
        <v/>
      </c>
      <c r="N471" s="47"/>
      <c r="O471" s="48" t="str">
        <f t="shared" si="30"/>
        <v>Năm</v>
      </c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42">
        <v>99238.0</v>
      </c>
      <c r="B472" s="42" t="s">
        <v>85</v>
      </c>
      <c r="C472" s="42" t="s">
        <v>67</v>
      </c>
      <c r="D472" s="43">
        <v>46262.0</v>
      </c>
      <c r="E472" s="42" t="s">
        <v>393</v>
      </c>
      <c r="F472" s="44">
        <f>IFERROR(__xludf.DUMMYFUNCTION("MIN(ARRAYFORMULA(TIMEVALUE(SPLIT(E472,"" ""))))"),0.31527777777777777)</f>
        <v>0.3152777778</v>
      </c>
      <c r="G472" s="44">
        <f>IFERROR(__xludf.DUMMYFUNCTION("MAX(ARRAYFORMULA(TIMEVALUE(SPLIT(E472,"" ""))))"),0.8125)</f>
        <v>0.8125</v>
      </c>
      <c r="H472" s="45"/>
      <c r="I472" s="45"/>
      <c r="J472" s="46">
        <f t="shared" si="31"/>
        <v>3</v>
      </c>
      <c r="K472" s="27"/>
      <c r="L472" s="38"/>
      <c r="M472" s="38" t="str">
        <f t="shared" si="29"/>
        <v/>
      </c>
      <c r="N472" s="47"/>
      <c r="O472" s="48" t="str">
        <f t="shared" si="30"/>
        <v>Sáu</v>
      </c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42">
        <v>99238.0</v>
      </c>
      <c r="B473" s="42" t="s">
        <v>85</v>
      </c>
      <c r="C473" s="42" t="s">
        <v>67</v>
      </c>
      <c r="D473" s="43">
        <v>46263.0</v>
      </c>
      <c r="E473" s="42" t="s">
        <v>394</v>
      </c>
      <c r="F473" s="44">
        <f>IFERROR(__xludf.DUMMYFUNCTION("MIN(ARRAYFORMULA(TIMEVALUE(SPLIT(E473,"" ""))))"),0.32083333333333336)</f>
        <v>0.3208333333</v>
      </c>
      <c r="G473" s="44">
        <f>IFERROR(__xludf.DUMMYFUNCTION("MAX(ARRAYFORMULA(TIMEVALUE(SPLIT(E473,"" ""))))"),0.8125)</f>
        <v>0.8125</v>
      </c>
      <c r="H473" s="45"/>
      <c r="I473" s="45"/>
      <c r="J473" s="46">
        <f t="shared" si="31"/>
        <v>3</v>
      </c>
      <c r="K473" s="27"/>
      <c r="L473" s="38"/>
      <c r="M473" s="38" t="str">
        <f t="shared" si="29"/>
        <v/>
      </c>
      <c r="N473" s="47"/>
      <c r="O473" s="48" t="str">
        <f t="shared" si="30"/>
        <v>Bảy</v>
      </c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42">
        <v>99238.0</v>
      </c>
      <c r="B474" s="42" t="s">
        <v>85</v>
      </c>
      <c r="C474" s="42" t="s">
        <v>67</v>
      </c>
      <c r="D474" s="43">
        <v>46265.0</v>
      </c>
      <c r="E474" s="42" t="s">
        <v>395</v>
      </c>
      <c r="F474" s="44">
        <f>IFERROR(__xludf.DUMMYFUNCTION("MIN(ARRAYFORMULA(TIMEVALUE(SPLIT(E474,"" ""))))"),0.31875)</f>
        <v>0.31875</v>
      </c>
      <c r="G474" s="44">
        <f>IFERROR(__xludf.DUMMYFUNCTION("MAX(ARRAYFORMULA(TIMEVALUE(SPLIT(E474,"" ""))))"),0.8125)</f>
        <v>0.8125</v>
      </c>
      <c r="H474" s="45"/>
      <c r="I474" s="45"/>
      <c r="J474" s="46">
        <f t="shared" si="31"/>
        <v>3</v>
      </c>
      <c r="K474" s="27"/>
      <c r="L474" s="38"/>
      <c r="M474" s="38" t="str">
        <f t="shared" si="29"/>
        <v/>
      </c>
      <c r="N474" s="47"/>
      <c r="O474" s="48" t="str">
        <f t="shared" si="30"/>
        <v>Hai</v>
      </c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42">
        <v>91871.0</v>
      </c>
      <c r="B475" s="42" t="s">
        <v>92</v>
      </c>
      <c r="C475" s="42" t="s">
        <v>93</v>
      </c>
      <c r="D475" s="43">
        <v>46235.0</v>
      </c>
      <c r="E475" s="42" t="s">
        <v>396</v>
      </c>
      <c r="F475" s="44">
        <f>IFERROR(__xludf.DUMMYFUNCTION("MIN(ARRAYFORMULA(TIMEVALUE(SPLIT(E475,"" ""))))"),0.25)</f>
        <v>0.25</v>
      </c>
      <c r="G475" s="44">
        <f>IFERROR(__xludf.DUMMYFUNCTION("MAX(ARRAYFORMULA(TIMEVALUE(SPLIT(E475,"" ""))))"),0.7465277777777778)</f>
        <v>0.7465277778</v>
      </c>
      <c r="H475" s="45"/>
      <c r="I475" s="45"/>
      <c r="J475" s="46">
        <f t="shared" si="31"/>
        <v>2</v>
      </c>
      <c r="K475" s="27"/>
      <c r="L475" s="38"/>
      <c r="M475" s="38" t="str">
        <f t="shared" si="29"/>
        <v/>
      </c>
      <c r="N475" s="47"/>
      <c r="O475" s="48" t="str">
        <f t="shared" si="30"/>
        <v>Bảy</v>
      </c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42">
        <v>91871.0</v>
      </c>
      <c r="B476" s="42" t="s">
        <v>92</v>
      </c>
      <c r="C476" s="42" t="s">
        <v>93</v>
      </c>
      <c r="D476" s="43">
        <v>46236.0</v>
      </c>
      <c r="E476" s="42" t="s">
        <v>397</v>
      </c>
      <c r="F476" s="44">
        <f>IFERROR(__xludf.DUMMYFUNCTION("MIN(ARRAYFORMULA(TIMEVALUE(SPLIT(E476,"" ""))))"),0.2465277777777778)</f>
        <v>0.2465277778</v>
      </c>
      <c r="G476" s="44">
        <f>IFERROR(__xludf.DUMMYFUNCTION("MAX(ARRAYFORMULA(TIMEVALUE(SPLIT(E476,"" ""))))"),0.45694444444444443)</f>
        <v>0.4569444444</v>
      </c>
      <c r="H476" s="45"/>
      <c r="I476" s="45"/>
      <c r="J476" s="55">
        <v>1.0</v>
      </c>
      <c r="K476" s="27"/>
      <c r="L476" s="38"/>
      <c r="M476" s="38" t="str">
        <f t="shared" si="29"/>
        <v/>
      </c>
      <c r="N476" s="47"/>
      <c r="O476" s="48" t="str">
        <f t="shared" si="30"/>
        <v>CN</v>
      </c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42">
        <v>91871.0</v>
      </c>
      <c r="B477" s="42" t="s">
        <v>92</v>
      </c>
      <c r="C477" s="42" t="s">
        <v>93</v>
      </c>
      <c r="D477" s="43">
        <v>46237.0</v>
      </c>
      <c r="E477" s="42" t="s">
        <v>398</v>
      </c>
      <c r="F477" s="44">
        <f>IFERROR(__xludf.DUMMYFUNCTION("MIN(ARRAYFORMULA(TIMEVALUE(SPLIT(E477,"" ""))))"),0.24513888888888888)</f>
        <v>0.2451388889</v>
      </c>
      <c r="G477" s="44">
        <f>IFERROR(__xludf.DUMMYFUNCTION("MAX(ARRAYFORMULA(TIMEVALUE(SPLIT(E477,"" ""))))"),0.7472222222222222)</f>
        <v>0.7472222222</v>
      </c>
      <c r="H477" s="45"/>
      <c r="I477" s="45"/>
      <c r="J477" s="46">
        <f t="shared" ref="J477:J482" si="32">IF(WEEKDAY(D477,2)=7,IF(AND(F477&lt;TIME(8,15,0),G477&gt;=TIME(11,55,0)),1,0)+IF(AND(F477&lt;TIME(13,45,0),G477&gt;=TIME(17,55,0)),1,0),IF(AND(F477&lt;TIME(8,15,0),G477&gt;=TIME(11,55,0)),1,0)+IF(AND(F477&lt;TIME(13,45,0),G477&gt;=TIME(17,25,0)),1,0)+IF(AND(F477&lt;TIME(15,45,0),G477&gt;=TIME(19,25,0)),1,0))</f>
        <v>2</v>
      </c>
      <c r="K477" s="27"/>
      <c r="L477" s="38"/>
      <c r="M477" s="38" t="str">
        <f t="shared" si="29"/>
        <v/>
      </c>
      <c r="N477" s="47"/>
      <c r="O477" s="48" t="str">
        <f t="shared" si="30"/>
        <v>Hai</v>
      </c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42">
        <v>91871.0</v>
      </c>
      <c r="B478" s="42" t="s">
        <v>92</v>
      </c>
      <c r="C478" s="42" t="s">
        <v>93</v>
      </c>
      <c r="D478" s="43">
        <v>46238.0</v>
      </c>
      <c r="E478" s="42" t="s">
        <v>399</v>
      </c>
      <c r="F478" s="44">
        <f>IFERROR(__xludf.DUMMYFUNCTION("MIN(ARRAYFORMULA(TIMEVALUE(SPLIT(E478,"" ""))))"),0.24305555555555555)</f>
        <v>0.2430555556</v>
      </c>
      <c r="G478" s="44">
        <f>IFERROR(__xludf.DUMMYFUNCTION("MAX(ARRAYFORMULA(TIMEVALUE(SPLIT(E478,"" ""))))"),0.7458333333333333)</f>
        <v>0.7458333333</v>
      </c>
      <c r="H478" s="45"/>
      <c r="I478" s="45"/>
      <c r="J478" s="46">
        <f t="shared" si="32"/>
        <v>2</v>
      </c>
      <c r="K478" s="27"/>
      <c r="L478" s="38"/>
      <c r="M478" s="38" t="str">
        <f t="shared" si="29"/>
        <v/>
      </c>
      <c r="N478" s="47"/>
      <c r="O478" s="48" t="str">
        <f t="shared" si="30"/>
        <v>Ba</v>
      </c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42">
        <v>91871.0</v>
      </c>
      <c r="B479" s="42" t="s">
        <v>92</v>
      </c>
      <c r="C479" s="42" t="s">
        <v>93</v>
      </c>
      <c r="D479" s="43">
        <v>46239.0</v>
      </c>
      <c r="E479" s="42" t="s">
        <v>400</v>
      </c>
      <c r="F479" s="44">
        <f>IFERROR(__xludf.DUMMYFUNCTION("MIN(ARRAYFORMULA(TIMEVALUE(SPLIT(E479,"" ""))))"),0.25)</f>
        <v>0.25</v>
      </c>
      <c r="G479" s="44">
        <f>IFERROR(__xludf.DUMMYFUNCTION("MAX(ARRAYFORMULA(TIMEVALUE(SPLIT(E479,"" ""))))"),0.7465277777777778)</f>
        <v>0.7465277778</v>
      </c>
      <c r="H479" s="45"/>
      <c r="I479" s="45"/>
      <c r="J479" s="46">
        <f t="shared" si="32"/>
        <v>2</v>
      </c>
      <c r="K479" s="27"/>
      <c r="L479" s="38"/>
      <c r="M479" s="38" t="str">
        <f t="shared" si="29"/>
        <v/>
      </c>
      <c r="N479" s="47"/>
      <c r="O479" s="48" t="str">
        <f t="shared" si="30"/>
        <v>Tư</v>
      </c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42">
        <v>91871.0</v>
      </c>
      <c r="B480" s="42" t="s">
        <v>92</v>
      </c>
      <c r="C480" s="42" t="s">
        <v>93</v>
      </c>
      <c r="D480" s="43">
        <v>46240.0</v>
      </c>
      <c r="E480" s="42" t="s">
        <v>401</v>
      </c>
      <c r="F480" s="44">
        <f>IFERROR(__xludf.DUMMYFUNCTION("MIN(ARRAYFORMULA(TIMEVALUE(SPLIT(E480,"" ""))))"),0.24791666666666667)</f>
        <v>0.2479166667</v>
      </c>
      <c r="G480" s="44">
        <f>IFERROR(__xludf.DUMMYFUNCTION("MAX(ARRAYFORMULA(TIMEVALUE(SPLIT(E480,"" ""))))"),0.7472222222222222)</f>
        <v>0.7472222222</v>
      </c>
      <c r="H480" s="45"/>
      <c r="I480" s="45"/>
      <c r="J480" s="46">
        <f t="shared" si="32"/>
        <v>2</v>
      </c>
      <c r="K480" s="27"/>
      <c r="L480" s="38"/>
      <c r="M480" s="38" t="str">
        <f t="shared" si="29"/>
        <v/>
      </c>
      <c r="N480" s="47"/>
      <c r="O480" s="48" t="str">
        <f t="shared" si="30"/>
        <v>Năm</v>
      </c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42">
        <v>91871.0</v>
      </c>
      <c r="B481" s="42" t="s">
        <v>92</v>
      </c>
      <c r="C481" s="42" t="s">
        <v>93</v>
      </c>
      <c r="D481" s="43">
        <v>46241.0</v>
      </c>
      <c r="E481" s="42" t="s">
        <v>402</v>
      </c>
      <c r="F481" s="44">
        <f>IFERROR(__xludf.DUMMYFUNCTION("MIN(ARRAYFORMULA(TIMEVALUE(SPLIT(E481,"" ""))))"),0.24375)</f>
        <v>0.24375</v>
      </c>
      <c r="G481" s="44">
        <f>IFERROR(__xludf.DUMMYFUNCTION("MAX(ARRAYFORMULA(TIMEVALUE(SPLIT(E481,"" ""))))"),0.7472222222222222)</f>
        <v>0.7472222222</v>
      </c>
      <c r="H481" s="45"/>
      <c r="I481" s="45"/>
      <c r="J481" s="46">
        <f t="shared" si="32"/>
        <v>2</v>
      </c>
      <c r="K481" s="27"/>
      <c r="L481" s="38"/>
      <c r="M481" s="38" t="str">
        <f t="shared" si="29"/>
        <v/>
      </c>
      <c r="N481" s="47"/>
      <c r="O481" s="48" t="str">
        <f t="shared" si="30"/>
        <v>Sáu</v>
      </c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42">
        <v>91871.0</v>
      </c>
      <c r="B482" s="42" t="s">
        <v>92</v>
      </c>
      <c r="C482" s="42" t="s">
        <v>93</v>
      </c>
      <c r="D482" s="43">
        <v>46242.0</v>
      </c>
      <c r="E482" s="42" t="s">
        <v>403</v>
      </c>
      <c r="F482" s="44">
        <f>IFERROR(__xludf.DUMMYFUNCTION("MIN(ARRAYFORMULA(TIMEVALUE(SPLIT(E482,"" ""))))"),0.24513888888888888)</f>
        <v>0.2451388889</v>
      </c>
      <c r="G482" s="44">
        <f>IFERROR(__xludf.DUMMYFUNCTION("MAX(ARRAYFORMULA(TIMEVALUE(SPLIT(E482,"" ""))))"),0.7423611111111111)</f>
        <v>0.7423611111</v>
      </c>
      <c r="H482" s="45"/>
      <c r="I482" s="45"/>
      <c r="J482" s="46">
        <f t="shared" si="32"/>
        <v>2</v>
      </c>
      <c r="K482" s="27"/>
      <c r="L482" s="38"/>
      <c r="M482" s="38" t="str">
        <f t="shared" si="29"/>
        <v/>
      </c>
      <c r="N482" s="47"/>
      <c r="O482" s="48" t="str">
        <f t="shared" si="30"/>
        <v>Bảy</v>
      </c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42">
        <v>91871.0</v>
      </c>
      <c r="B483" s="42" t="s">
        <v>92</v>
      </c>
      <c r="C483" s="42" t="s">
        <v>93</v>
      </c>
      <c r="D483" s="43">
        <v>46243.0</v>
      </c>
      <c r="E483" s="42" t="s">
        <v>404</v>
      </c>
      <c r="F483" s="44">
        <f>IFERROR(__xludf.DUMMYFUNCTION("MIN(ARRAYFORMULA(TIMEVALUE(SPLIT(E483,"" ""))))"),0.24861111111111112)</f>
        <v>0.2486111111</v>
      </c>
      <c r="G483" s="44">
        <f>IFERROR(__xludf.DUMMYFUNCTION("MAX(ARRAYFORMULA(TIMEVALUE(SPLIT(E483,"" ""))))"),0.45416666666666666)</f>
        <v>0.4541666667</v>
      </c>
      <c r="H483" s="45"/>
      <c r="I483" s="45"/>
      <c r="J483" s="55">
        <v>1.0</v>
      </c>
      <c r="K483" s="27"/>
      <c r="L483" s="38"/>
      <c r="M483" s="38" t="str">
        <f t="shared" si="29"/>
        <v/>
      </c>
      <c r="N483" s="47"/>
      <c r="O483" s="48" t="str">
        <f t="shared" si="30"/>
        <v>CN</v>
      </c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42">
        <v>91871.0</v>
      </c>
      <c r="B484" s="42" t="s">
        <v>92</v>
      </c>
      <c r="C484" s="42" t="s">
        <v>93</v>
      </c>
      <c r="D484" s="43">
        <v>46244.0</v>
      </c>
      <c r="E484" s="42" t="s">
        <v>405</v>
      </c>
      <c r="F484" s="44">
        <f>IFERROR(__xludf.DUMMYFUNCTION("MIN(ARRAYFORMULA(TIMEVALUE(SPLIT(E484,"" ""))))"),0.24722222222222223)</f>
        <v>0.2472222222</v>
      </c>
      <c r="G484" s="44">
        <f>IFERROR(__xludf.DUMMYFUNCTION("MAX(ARRAYFORMULA(TIMEVALUE(SPLIT(E484,"" ""))))"),0.7451388888888889)</f>
        <v>0.7451388889</v>
      </c>
      <c r="H484" s="45"/>
      <c r="I484" s="45"/>
      <c r="J484" s="46">
        <f>IF(WEEKDAY(D484,2)=7,IF(AND(F484&lt;TIME(8,15,0),G484&gt;=TIME(11,55,0)),1,0)+IF(AND(F484&lt;TIME(13,45,0),G484&gt;=TIME(17,55,0)),1,0),IF(AND(F484&lt;TIME(8,15,0),G484&gt;=TIME(11,55,0)),1,0)+IF(AND(F484&lt;TIME(13,45,0),G484&gt;=TIME(17,25,0)),1,0)+IF(AND(F484&lt;TIME(15,45,0),G484&gt;=TIME(19,25,0)),1,0))</f>
        <v>2</v>
      </c>
      <c r="K484" s="27"/>
      <c r="L484" s="38"/>
      <c r="M484" s="38" t="str">
        <f t="shared" si="29"/>
        <v/>
      </c>
      <c r="N484" s="47"/>
      <c r="O484" s="48" t="str">
        <f t="shared" si="30"/>
        <v>Hai</v>
      </c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42">
        <v>91871.0</v>
      </c>
      <c r="B485" s="42" t="s">
        <v>92</v>
      </c>
      <c r="C485" s="42" t="s">
        <v>93</v>
      </c>
      <c r="D485" s="43">
        <v>46247.0</v>
      </c>
      <c r="E485" s="42" t="s">
        <v>406</v>
      </c>
      <c r="F485" s="44">
        <f>IFERROR(__xludf.DUMMYFUNCTION("MIN(ARRAYFORMULA(TIMEVALUE(SPLIT(E485,"" ""))))"),0.2465277777777778)</f>
        <v>0.2465277778</v>
      </c>
      <c r="G485" s="44">
        <f>IFERROR(__xludf.DUMMYFUNCTION("MAX(ARRAYFORMULA(TIMEVALUE(SPLIT(E485,"" ""))))"),0.7229166666666667)</f>
        <v>0.7229166667</v>
      </c>
      <c r="H485" s="45"/>
      <c r="I485" s="45"/>
      <c r="J485" s="55">
        <v>2.0</v>
      </c>
      <c r="K485" s="27"/>
      <c r="L485" s="38"/>
      <c r="M485" s="38" t="str">
        <f t="shared" si="29"/>
        <v/>
      </c>
      <c r="N485" s="47"/>
      <c r="O485" s="48" t="str">
        <f t="shared" si="30"/>
        <v>Năm</v>
      </c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42">
        <v>91871.0</v>
      </c>
      <c r="B486" s="42" t="s">
        <v>92</v>
      </c>
      <c r="C486" s="42" t="s">
        <v>93</v>
      </c>
      <c r="D486" s="43">
        <v>46248.0</v>
      </c>
      <c r="E486" s="42" t="s">
        <v>407</v>
      </c>
      <c r="F486" s="44">
        <f>IFERROR(__xludf.DUMMYFUNCTION("MIN(ARRAYFORMULA(TIMEVALUE(SPLIT(E486,"" ""))))"),0.2423611111111111)</f>
        <v>0.2423611111</v>
      </c>
      <c r="G486" s="44">
        <f>IFERROR(__xludf.DUMMYFUNCTION("MAX(ARRAYFORMULA(TIMEVALUE(SPLIT(E486,"" ""))))"),0.7479166666666667)</f>
        <v>0.7479166667</v>
      </c>
      <c r="H486" s="45"/>
      <c r="I486" s="45"/>
      <c r="J486" s="46">
        <f t="shared" ref="J486:J487" si="33">IF(WEEKDAY(D486,2)=7,IF(AND(F486&lt;TIME(8,15,0),G486&gt;=TIME(11,55,0)),1,0)+IF(AND(F486&lt;TIME(13,45,0),G486&gt;=TIME(17,55,0)),1,0),IF(AND(F486&lt;TIME(8,15,0),G486&gt;=TIME(11,55,0)),1,0)+IF(AND(F486&lt;TIME(13,45,0),G486&gt;=TIME(17,25,0)),1,0)+IF(AND(F486&lt;TIME(15,45,0),G486&gt;=TIME(19,25,0)),1,0))</f>
        <v>2</v>
      </c>
      <c r="K486" s="27"/>
      <c r="L486" s="38"/>
      <c r="M486" s="38" t="str">
        <f t="shared" si="29"/>
        <v/>
      </c>
      <c r="N486" s="47"/>
      <c r="O486" s="48" t="str">
        <f t="shared" si="30"/>
        <v>Sáu</v>
      </c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42">
        <v>91871.0</v>
      </c>
      <c r="B487" s="42" t="s">
        <v>92</v>
      </c>
      <c r="C487" s="42" t="s">
        <v>93</v>
      </c>
      <c r="D487" s="43">
        <v>46249.0</v>
      </c>
      <c r="E487" s="42" t="s">
        <v>408</v>
      </c>
      <c r="F487" s="44">
        <f>IFERROR(__xludf.DUMMYFUNCTION("MIN(ARRAYFORMULA(TIMEVALUE(SPLIT(E487,"" ""))))"),0.24513888888888888)</f>
        <v>0.2451388889</v>
      </c>
      <c r="G487" s="44">
        <f>IFERROR(__xludf.DUMMYFUNCTION("MAX(ARRAYFORMULA(TIMEVALUE(SPLIT(E487,"" ""))))"),0.7465277777777778)</f>
        <v>0.7465277778</v>
      </c>
      <c r="H487" s="45"/>
      <c r="I487" s="45"/>
      <c r="J487" s="46">
        <f t="shared" si="33"/>
        <v>2</v>
      </c>
      <c r="K487" s="27"/>
      <c r="L487" s="38"/>
      <c r="M487" s="38" t="str">
        <f t="shared" si="29"/>
        <v/>
      </c>
      <c r="N487" s="47"/>
      <c r="O487" s="48" t="str">
        <f t="shared" si="30"/>
        <v>Bảy</v>
      </c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42">
        <v>91871.0</v>
      </c>
      <c r="B488" s="42" t="s">
        <v>92</v>
      </c>
      <c r="C488" s="42" t="s">
        <v>93</v>
      </c>
      <c r="D488" s="43">
        <v>46250.0</v>
      </c>
      <c r="E488" s="42" t="s">
        <v>409</v>
      </c>
      <c r="F488" s="44">
        <f>IFERROR(__xludf.DUMMYFUNCTION("MIN(ARRAYFORMULA(TIMEVALUE(SPLIT(E488,"" ""))))"),0.24583333333333332)</f>
        <v>0.2458333333</v>
      </c>
      <c r="G488" s="44">
        <f>IFERROR(__xludf.DUMMYFUNCTION("MAX(ARRAYFORMULA(TIMEVALUE(SPLIT(E488,"" ""))))"),0.45694444444444443)</f>
        <v>0.4569444444</v>
      </c>
      <c r="H488" s="45"/>
      <c r="I488" s="45"/>
      <c r="J488" s="55">
        <v>1.0</v>
      </c>
      <c r="K488" s="27"/>
      <c r="L488" s="38"/>
      <c r="M488" s="38" t="str">
        <f t="shared" si="29"/>
        <v/>
      </c>
      <c r="N488" s="47"/>
      <c r="O488" s="48" t="str">
        <f t="shared" si="30"/>
        <v>CN</v>
      </c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42">
        <v>91871.0</v>
      </c>
      <c r="B489" s="42" t="s">
        <v>92</v>
      </c>
      <c r="C489" s="42" t="s">
        <v>93</v>
      </c>
      <c r="D489" s="43">
        <v>46251.0</v>
      </c>
      <c r="E489" s="42" t="s">
        <v>410</v>
      </c>
      <c r="F489" s="44">
        <f>IFERROR(__xludf.DUMMYFUNCTION("MIN(ARRAYFORMULA(TIMEVALUE(SPLIT(E489,"" ""))))"),0.24375)</f>
        <v>0.24375</v>
      </c>
      <c r="G489" s="44">
        <f>IFERROR(__xludf.DUMMYFUNCTION("MAX(ARRAYFORMULA(TIMEVALUE(SPLIT(E489,"" ""))))"),0.7486111111111111)</f>
        <v>0.7486111111</v>
      </c>
      <c r="H489" s="45"/>
      <c r="I489" s="45"/>
      <c r="J489" s="46">
        <f t="shared" ref="J489:J494" si="34">IF(WEEKDAY(D489,2)=7,IF(AND(F489&lt;TIME(8,15,0),G489&gt;=TIME(11,55,0)),1,0)+IF(AND(F489&lt;TIME(13,45,0),G489&gt;=TIME(17,55,0)),1,0),IF(AND(F489&lt;TIME(8,15,0),G489&gt;=TIME(11,55,0)),1,0)+IF(AND(F489&lt;TIME(13,45,0),G489&gt;=TIME(17,25,0)),1,0)+IF(AND(F489&lt;TIME(15,45,0),G489&gt;=TIME(19,25,0)),1,0))</f>
        <v>2</v>
      </c>
      <c r="K489" s="27"/>
      <c r="L489" s="38"/>
      <c r="M489" s="38" t="str">
        <f t="shared" si="29"/>
        <v/>
      </c>
      <c r="N489" s="47"/>
      <c r="O489" s="48" t="str">
        <f t="shared" si="30"/>
        <v>Hai</v>
      </c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42">
        <v>91871.0</v>
      </c>
      <c r="B490" s="42" t="s">
        <v>92</v>
      </c>
      <c r="C490" s="42" t="s">
        <v>93</v>
      </c>
      <c r="D490" s="43">
        <v>46252.0</v>
      </c>
      <c r="E490" s="42" t="s">
        <v>411</v>
      </c>
      <c r="F490" s="44">
        <f>IFERROR(__xludf.DUMMYFUNCTION("MIN(ARRAYFORMULA(TIMEVALUE(SPLIT(E490,"" ""))))"),0.25)</f>
        <v>0.25</v>
      </c>
      <c r="G490" s="44">
        <f>IFERROR(__xludf.DUMMYFUNCTION("MAX(ARRAYFORMULA(TIMEVALUE(SPLIT(E490,"" ""))))"),0.7451388888888889)</f>
        <v>0.7451388889</v>
      </c>
      <c r="H490" s="45"/>
      <c r="I490" s="45"/>
      <c r="J490" s="46">
        <f t="shared" si="34"/>
        <v>2</v>
      </c>
      <c r="K490" s="27"/>
      <c r="L490" s="38"/>
      <c r="M490" s="38" t="str">
        <f t="shared" si="29"/>
        <v/>
      </c>
      <c r="N490" s="47"/>
      <c r="O490" s="48" t="str">
        <f t="shared" si="30"/>
        <v>Ba</v>
      </c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42">
        <v>91871.0</v>
      </c>
      <c r="B491" s="42" t="s">
        <v>92</v>
      </c>
      <c r="C491" s="42" t="s">
        <v>93</v>
      </c>
      <c r="D491" s="43">
        <v>46253.0</v>
      </c>
      <c r="E491" s="42" t="s">
        <v>412</v>
      </c>
      <c r="F491" s="44">
        <f>IFERROR(__xludf.DUMMYFUNCTION("MIN(ARRAYFORMULA(TIMEVALUE(SPLIT(E491,"" ""))))"),0.24583333333333332)</f>
        <v>0.2458333333</v>
      </c>
      <c r="G491" s="44">
        <f>IFERROR(__xludf.DUMMYFUNCTION("MAX(ARRAYFORMULA(TIMEVALUE(SPLIT(E491,"" ""))))"),0.7451388888888889)</f>
        <v>0.7451388889</v>
      </c>
      <c r="H491" s="45"/>
      <c r="I491" s="45"/>
      <c r="J491" s="46">
        <f t="shared" si="34"/>
        <v>2</v>
      </c>
      <c r="K491" s="27"/>
      <c r="L491" s="38"/>
      <c r="M491" s="38" t="str">
        <f t="shared" si="29"/>
        <v/>
      </c>
      <c r="N491" s="47"/>
      <c r="O491" s="48" t="str">
        <f t="shared" si="30"/>
        <v>Tư</v>
      </c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42">
        <v>91871.0</v>
      </c>
      <c r="B492" s="42" t="s">
        <v>92</v>
      </c>
      <c r="C492" s="42" t="s">
        <v>93</v>
      </c>
      <c r="D492" s="43">
        <v>46254.0</v>
      </c>
      <c r="E492" s="42" t="s">
        <v>413</v>
      </c>
      <c r="F492" s="44">
        <f>IFERROR(__xludf.DUMMYFUNCTION("MIN(ARRAYFORMULA(TIMEVALUE(SPLIT(E492,"" ""))))"),0.24305555555555555)</f>
        <v>0.2430555556</v>
      </c>
      <c r="G492" s="44">
        <f>IFERROR(__xludf.DUMMYFUNCTION("MAX(ARRAYFORMULA(TIMEVALUE(SPLIT(E492,"" ""))))"),0.7472222222222222)</f>
        <v>0.7472222222</v>
      </c>
      <c r="H492" s="45"/>
      <c r="I492" s="45"/>
      <c r="J492" s="46">
        <f t="shared" si="34"/>
        <v>2</v>
      </c>
      <c r="K492" s="27"/>
      <c r="L492" s="38"/>
      <c r="M492" s="38" t="str">
        <f t="shared" si="29"/>
        <v/>
      </c>
      <c r="N492" s="47"/>
      <c r="O492" s="48" t="str">
        <f t="shared" si="30"/>
        <v>Năm</v>
      </c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42">
        <v>91871.0</v>
      </c>
      <c r="B493" s="42" t="s">
        <v>92</v>
      </c>
      <c r="C493" s="42" t="s">
        <v>93</v>
      </c>
      <c r="D493" s="43">
        <v>46255.0</v>
      </c>
      <c r="E493" s="42" t="s">
        <v>414</v>
      </c>
      <c r="F493" s="44">
        <f>IFERROR(__xludf.DUMMYFUNCTION("MIN(ARRAYFORMULA(TIMEVALUE(SPLIT(E493,"" ""))))"),0.24305555555555555)</f>
        <v>0.2430555556</v>
      </c>
      <c r="G493" s="44">
        <f>IFERROR(__xludf.DUMMYFUNCTION("MAX(ARRAYFORMULA(TIMEVALUE(SPLIT(E493,"" ""))))"),0.7472222222222222)</f>
        <v>0.7472222222</v>
      </c>
      <c r="H493" s="45"/>
      <c r="I493" s="45"/>
      <c r="J493" s="46">
        <f t="shared" si="34"/>
        <v>2</v>
      </c>
      <c r="K493" s="27"/>
      <c r="L493" s="38"/>
      <c r="M493" s="38" t="str">
        <f t="shared" si="29"/>
        <v/>
      </c>
      <c r="N493" s="47"/>
      <c r="O493" s="48" t="str">
        <f t="shared" si="30"/>
        <v>Sáu</v>
      </c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42">
        <v>91871.0</v>
      </c>
      <c r="B494" s="42" t="s">
        <v>92</v>
      </c>
      <c r="C494" s="42" t="s">
        <v>93</v>
      </c>
      <c r="D494" s="43">
        <v>46256.0</v>
      </c>
      <c r="E494" s="42" t="s">
        <v>415</v>
      </c>
      <c r="F494" s="44">
        <f>IFERROR(__xludf.DUMMYFUNCTION("MIN(ARRAYFORMULA(TIMEVALUE(SPLIT(E494,"" ""))))"),0.24375)</f>
        <v>0.24375</v>
      </c>
      <c r="G494" s="44">
        <f>IFERROR(__xludf.DUMMYFUNCTION("MAX(ARRAYFORMULA(TIMEVALUE(SPLIT(E494,"" ""))))"),0.7465277777777778)</f>
        <v>0.7465277778</v>
      </c>
      <c r="H494" s="45"/>
      <c r="I494" s="45"/>
      <c r="J494" s="46">
        <f t="shared" si="34"/>
        <v>2</v>
      </c>
      <c r="K494" s="27"/>
      <c r="L494" s="38"/>
      <c r="M494" s="38" t="str">
        <f t="shared" si="29"/>
        <v/>
      </c>
      <c r="N494" s="47"/>
      <c r="O494" s="48" t="str">
        <f t="shared" si="30"/>
        <v>Bảy</v>
      </c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42">
        <v>91871.0</v>
      </c>
      <c r="B495" s="42" t="s">
        <v>92</v>
      </c>
      <c r="C495" s="42" t="s">
        <v>93</v>
      </c>
      <c r="D495" s="43">
        <v>46257.0</v>
      </c>
      <c r="E495" s="42" t="s">
        <v>416</v>
      </c>
      <c r="F495" s="44">
        <f>IFERROR(__xludf.DUMMYFUNCTION("MIN(ARRAYFORMULA(TIMEVALUE(SPLIT(E495,"" ""))))"),0.23958333333333334)</f>
        <v>0.2395833333</v>
      </c>
      <c r="G495" s="44">
        <f>IFERROR(__xludf.DUMMYFUNCTION("MAX(ARRAYFORMULA(TIMEVALUE(SPLIT(E495,"" ""))))"),0.4548611111111111)</f>
        <v>0.4548611111</v>
      </c>
      <c r="H495" s="45"/>
      <c r="I495" s="45"/>
      <c r="J495" s="55">
        <v>1.0</v>
      </c>
      <c r="K495" s="27"/>
      <c r="L495" s="38"/>
      <c r="M495" s="38" t="str">
        <f t="shared" si="29"/>
        <v/>
      </c>
      <c r="N495" s="47"/>
      <c r="O495" s="48" t="str">
        <f t="shared" si="30"/>
        <v>CN</v>
      </c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42">
        <v>91871.0</v>
      </c>
      <c r="B496" s="42" t="s">
        <v>92</v>
      </c>
      <c r="C496" s="42" t="s">
        <v>93</v>
      </c>
      <c r="D496" s="43">
        <v>46258.0</v>
      </c>
      <c r="E496" s="42" t="s">
        <v>417</v>
      </c>
      <c r="F496" s="44">
        <f>IFERROR(__xludf.DUMMYFUNCTION("MIN(ARRAYFORMULA(TIMEVALUE(SPLIT(E496,"" ""))))"),0.24097222222222223)</f>
        <v>0.2409722222</v>
      </c>
      <c r="G496" s="44">
        <f>IFERROR(__xludf.DUMMYFUNCTION("MAX(ARRAYFORMULA(TIMEVALUE(SPLIT(E496,"" ""))))"),0.75)</f>
        <v>0.75</v>
      </c>
      <c r="H496" s="45"/>
      <c r="I496" s="45"/>
      <c r="J496" s="46">
        <f t="shared" ref="J496:J501" si="35">IF(WEEKDAY(D496,2)=7,IF(AND(F496&lt;TIME(8,15,0),G496&gt;=TIME(11,55,0)),1,0)+IF(AND(F496&lt;TIME(13,45,0),G496&gt;=TIME(17,55,0)),1,0),IF(AND(F496&lt;TIME(8,15,0),G496&gt;=TIME(11,55,0)),1,0)+IF(AND(F496&lt;TIME(13,45,0),G496&gt;=TIME(17,25,0)),1,0)+IF(AND(F496&lt;TIME(15,45,0),G496&gt;=TIME(19,25,0)),1,0))</f>
        <v>2</v>
      </c>
      <c r="K496" s="27"/>
      <c r="L496" s="38"/>
      <c r="M496" s="38" t="str">
        <f t="shared" si="29"/>
        <v/>
      </c>
      <c r="N496" s="47"/>
      <c r="O496" s="48" t="str">
        <f t="shared" si="30"/>
        <v>Hai</v>
      </c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42">
        <v>91871.0</v>
      </c>
      <c r="B497" s="42" t="s">
        <v>92</v>
      </c>
      <c r="C497" s="42" t="s">
        <v>93</v>
      </c>
      <c r="D497" s="43">
        <v>46259.0</v>
      </c>
      <c r="E497" s="42" t="s">
        <v>399</v>
      </c>
      <c r="F497" s="44">
        <f>IFERROR(__xludf.DUMMYFUNCTION("MIN(ARRAYFORMULA(TIMEVALUE(SPLIT(E497,"" ""))))"),0.24305555555555555)</f>
        <v>0.2430555556</v>
      </c>
      <c r="G497" s="44">
        <f>IFERROR(__xludf.DUMMYFUNCTION("MAX(ARRAYFORMULA(TIMEVALUE(SPLIT(E497,"" ""))))"),0.7458333333333333)</f>
        <v>0.7458333333</v>
      </c>
      <c r="H497" s="45"/>
      <c r="I497" s="45"/>
      <c r="J497" s="46">
        <f t="shared" si="35"/>
        <v>2</v>
      </c>
      <c r="K497" s="27"/>
      <c r="L497" s="38"/>
      <c r="M497" s="38" t="str">
        <f t="shared" si="29"/>
        <v/>
      </c>
      <c r="N497" s="47"/>
      <c r="O497" s="48" t="str">
        <f t="shared" si="30"/>
        <v>Ba</v>
      </c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42">
        <v>91871.0</v>
      </c>
      <c r="B498" s="42" t="s">
        <v>92</v>
      </c>
      <c r="C498" s="42" t="s">
        <v>93</v>
      </c>
      <c r="D498" s="43">
        <v>46260.0</v>
      </c>
      <c r="E498" s="42" t="s">
        <v>418</v>
      </c>
      <c r="F498" s="44">
        <f>IFERROR(__xludf.DUMMYFUNCTION("MIN(ARRAYFORMULA(TIMEVALUE(SPLIT(E498,"" ""))))"),0.24097222222222223)</f>
        <v>0.2409722222</v>
      </c>
      <c r="G498" s="44">
        <f>IFERROR(__xludf.DUMMYFUNCTION("MAX(ARRAYFORMULA(TIMEVALUE(SPLIT(E498,"" ""))))"),0.7458333333333333)</f>
        <v>0.7458333333</v>
      </c>
      <c r="H498" s="45"/>
      <c r="I498" s="45"/>
      <c r="J498" s="46">
        <f t="shared" si="35"/>
        <v>2</v>
      </c>
      <c r="K498" s="27"/>
      <c r="L498" s="38"/>
      <c r="M498" s="38" t="str">
        <f t="shared" si="29"/>
        <v/>
      </c>
      <c r="N498" s="47"/>
      <c r="O498" s="48" t="str">
        <f t="shared" si="30"/>
        <v>Tư</v>
      </c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42">
        <v>91871.0</v>
      </c>
      <c r="B499" s="42" t="s">
        <v>92</v>
      </c>
      <c r="C499" s="42" t="s">
        <v>93</v>
      </c>
      <c r="D499" s="43">
        <v>46261.0</v>
      </c>
      <c r="E499" s="42" t="s">
        <v>419</v>
      </c>
      <c r="F499" s="44">
        <f>IFERROR(__xludf.DUMMYFUNCTION("MIN(ARRAYFORMULA(TIMEVALUE(SPLIT(E499,"" ""))))"),0.24444444444444444)</f>
        <v>0.2444444444</v>
      </c>
      <c r="G499" s="44">
        <f>IFERROR(__xludf.DUMMYFUNCTION("MAX(ARRAYFORMULA(TIMEVALUE(SPLIT(E499,"" ""))))"),0.7472222222222222)</f>
        <v>0.7472222222</v>
      </c>
      <c r="H499" s="45"/>
      <c r="I499" s="45"/>
      <c r="J499" s="46">
        <f t="shared" si="35"/>
        <v>2</v>
      </c>
      <c r="K499" s="27"/>
      <c r="L499" s="38"/>
      <c r="M499" s="38" t="str">
        <f t="shared" si="29"/>
        <v/>
      </c>
      <c r="N499" s="47"/>
      <c r="O499" s="48" t="str">
        <f t="shared" si="30"/>
        <v>Năm</v>
      </c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42">
        <v>91871.0</v>
      </c>
      <c r="B500" s="42" t="s">
        <v>92</v>
      </c>
      <c r="C500" s="42" t="s">
        <v>93</v>
      </c>
      <c r="D500" s="43">
        <v>46262.0</v>
      </c>
      <c r="E500" s="42" t="s">
        <v>420</v>
      </c>
      <c r="F500" s="44">
        <f>IFERROR(__xludf.DUMMYFUNCTION("MIN(ARRAYFORMULA(TIMEVALUE(SPLIT(E500,"" ""))))"),0.24097222222222223)</f>
        <v>0.2409722222</v>
      </c>
      <c r="G500" s="44">
        <f>IFERROR(__xludf.DUMMYFUNCTION("MAX(ARRAYFORMULA(TIMEVALUE(SPLIT(E500,"" ""))))"),0.7465277777777778)</f>
        <v>0.7465277778</v>
      </c>
      <c r="H500" s="45"/>
      <c r="I500" s="45"/>
      <c r="J500" s="46">
        <f t="shared" si="35"/>
        <v>2</v>
      </c>
      <c r="K500" s="27"/>
      <c r="L500" s="38"/>
      <c r="M500" s="38" t="str">
        <f t="shared" si="29"/>
        <v/>
      </c>
      <c r="N500" s="47"/>
      <c r="O500" s="48" t="str">
        <f t="shared" si="30"/>
        <v>Sáu</v>
      </c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42">
        <v>91871.0</v>
      </c>
      <c r="B501" s="42" t="s">
        <v>92</v>
      </c>
      <c r="C501" s="42" t="s">
        <v>93</v>
      </c>
      <c r="D501" s="43">
        <v>46263.0</v>
      </c>
      <c r="E501" s="42" t="s">
        <v>421</v>
      </c>
      <c r="F501" s="44">
        <f>IFERROR(__xludf.DUMMYFUNCTION("MIN(ARRAYFORMULA(TIMEVALUE(SPLIT(E501,"" ""))))"),0.2465277777777778)</f>
        <v>0.2465277778</v>
      </c>
      <c r="G501" s="44">
        <f>IFERROR(__xludf.DUMMYFUNCTION("MAX(ARRAYFORMULA(TIMEVALUE(SPLIT(E501,"" ""))))"),0.7451388888888889)</f>
        <v>0.7451388889</v>
      </c>
      <c r="H501" s="45"/>
      <c r="I501" s="45"/>
      <c r="J501" s="46">
        <f t="shared" si="35"/>
        <v>2</v>
      </c>
      <c r="K501" s="27"/>
      <c r="L501" s="38"/>
      <c r="M501" s="38" t="str">
        <f t="shared" si="29"/>
        <v/>
      </c>
      <c r="N501" s="47"/>
      <c r="O501" s="48" t="str">
        <f t="shared" si="30"/>
        <v>Bảy</v>
      </c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42">
        <v>91871.0</v>
      </c>
      <c r="B502" s="42" t="s">
        <v>92</v>
      </c>
      <c r="C502" s="42" t="s">
        <v>93</v>
      </c>
      <c r="D502" s="43">
        <v>46264.0</v>
      </c>
      <c r="E502" s="42" t="s">
        <v>422</v>
      </c>
      <c r="F502" s="44">
        <f>IFERROR(__xludf.DUMMYFUNCTION("MIN(ARRAYFORMULA(TIMEVALUE(SPLIT(E502,"" ""))))"),0.24930555555555556)</f>
        <v>0.2493055556</v>
      </c>
      <c r="G502" s="44">
        <f>IFERROR(__xludf.DUMMYFUNCTION("MAX(ARRAYFORMULA(TIMEVALUE(SPLIT(E502,"" ""))))"),0.45416666666666666)</f>
        <v>0.4541666667</v>
      </c>
      <c r="H502" s="45"/>
      <c r="I502" s="45"/>
      <c r="J502" s="55">
        <v>1.0</v>
      </c>
      <c r="K502" s="27"/>
      <c r="L502" s="38"/>
      <c r="M502" s="38" t="str">
        <f t="shared" si="29"/>
        <v/>
      </c>
      <c r="N502" s="47"/>
      <c r="O502" s="48" t="str">
        <f t="shared" si="30"/>
        <v>CN</v>
      </c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42">
        <v>91871.0</v>
      </c>
      <c r="B503" s="42" t="s">
        <v>92</v>
      </c>
      <c r="C503" s="42" t="s">
        <v>93</v>
      </c>
      <c r="D503" s="43">
        <v>46265.0</v>
      </c>
      <c r="E503" s="42" t="s">
        <v>423</v>
      </c>
      <c r="F503" s="44">
        <f>IFERROR(__xludf.DUMMYFUNCTION("MIN(ARRAYFORMULA(TIMEVALUE(SPLIT(E503,"" ""))))"),0.2465277777777778)</f>
        <v>0.2465277778</v>
      </c>
      <c r="G503" s="44">
        <f>IFERROR(__xludf.DUMMYFUNCTION("MAX(ARRAYFORMULA(TIMEVALUE(SPLIT(E503,"" ""))))"),0.7458333333333333)</f>
        <v>0.7458333333</v>
      </c>
      <c r="H503" s="45"/>
      <c r="I503" s="45"/>
      <c r="J503" s="46">
        <f t="shared" ref="J503:J645" si="36">IF(WEEKDAY(D503,2)=7,IF(AND(F503&lt;TIME(8,15,0),G503&gt;=TIME(11,55,0)),1,0)+IF(AND(F503&lt;TIME(13,45,0),G503&gt;=TIME(17,55,0)),1,0),IF(AND(F503&lt;TIME(8,15,0),G503&gt;=TIME(11,55,0)),1,0)+IF(AND(F503&lt;TIME(13,45,0),G503&gt;=TIME(17,25,0)),1,0)+IF(AND(F503&lt;TIME(15,45,0),G503&gt;=TIME(19,25,0)),1,0))</f>
        <v>2</v>
      </c>
      <c r="K503" s="27"/>
      <c r="L503" s="38"/>
      <c r="M503" s="38" t="str">
        <f t="shared" si="29"/>
        <v/>
      </c>
      <c r="N503" s="47"/>
      <c r="O503" s="48" t="str">
        <f t="shared" si="30"/>
        <v>Hai</v>
      </c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idden="1">
      <c r="A504" s="42">
        <v>40828.0</v>
      </c>
      <c r="B504" s="42" t="s">
        <v>424</v>
      </c>
      <c r="C504" s="42" t="s">
        <v>207</v>
      </c>
      <c r="D504" s="43">
        <v>46235.0</v>
      </c>
      <c r="E504" s="42" t="s">
        <v>425</v>
      </c>
      <c r="F504" s="44">
        <f>IFERROR(__xludf.DUMMYFUNCTION("MIN(ARRAYFORMULA(TIMEVALUE(SPLIT(E504,"" ""))))"),0.32222222222222224)</f>
        <v>0.3222222222</v>
      </c>
      <c r="G504" s="44">
        <f>IFERROR(__xludf.DUMMYFUNCTION("MAX(ARRAYFORMULA(TIMEVALUE(SPLIT(E504,"" ""))))"),0.5798611111111112)</f>
        <v>0.5798611111</v>
      </c>
      <c r="H504" s="45"/>
      <c r="I504" s="45"/>
      <c r="J504" s="46">
        <f t="shared" si="36"/>
        <v>1</v>
      </c>
      <c r="K504" s="27"/>
      <c r="L504" s="38"/>
      <c r="M504" s="38" t="str">
        <f t="shared" si="29"/>
        <v/>
      </c>
      <c r="N504" s="47"/>
      <c r="O504" s="48" t="str">
        <f t="shared" si="30"/>
        <v>Bảy</v>
      </c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idden="1">
      <c r="A505" s="42">
        <v>40828.0</v>
      </c>
      <c r="B505" s="42" t="s">
        <v>424</v>
      </c>
      <c r="C505" s="42" t="s">
        <v>207</v>
      </c>
      <c r="D505" s="43">
        <v>46238.0</v>
      </c>
      <c r="E505" s="42" t="s">
        <v>426</v>
      </c>
      <c r="F505" s="44">
        <f>IFERROR(__xludf.DUMMYFUNCTION("MIN(ARRAYFORMULA(TIMEVALUE(SPLIT(E505,"" ""))))"),0.31527777777777777)</f>
        <v>0.3152777778</v>
      </c>
      <c r="G505" s="44">
        <f>IFERROR(__xludf.DUMMYFUNCTION("MAX(ARRAYFORMULA(TIMEVALUE(SPLIT(E505,"" ""))))"),0.7333333333333333)</f>
        <v>0.7333333333</v>
      </c>
      <c r="H505" s="45"/>
      <c r="I505" s="45"/>
      <c r="J505" s="46">
        <f t="shared" si="36"/>
        <v>2</v>
      </c>
      <c r="K505" s="27"/>
      <c r="L505" s="38"/>
      <c r="M505" s="38" t="str">
        <f t="shared" si="29"/>
        <v/>
      </c>
      <c r="N505" s="47"/>
      <c r="O505" s="48" t="str">
        <f t="shared" si="30"/>
        <v>Ba</v>
      </c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idden="1">
      <c r="A506" s="42">
        <v>40828.0</v>
      </c>
      <c r="B506" s="42" t="s">
        <v>424</v>
      </c>
      <c r="C506" s="42" t="s">
        <v>207</v>
      </c>
      <c r="D506" s="43">
        <v>46239.0</v>
      </c>
      <c r="E506" s="42" t="s">
        <v>180</v>
      </c>
      <c r="F506" s="44">
        <f>IFERROR(__xludf.DUMMYFUNCTION("MIN(ARRAYFORMULA(TIMEVALUE(SPLIT(E506,"" ""))))"),0.32916666666666666)</f>
        <v>0.3291666667</v>
      </c>
      <c r="G506" s="44">
        <f>IFERROR(__xludf.DUMMYFUNCTION("MAX(ARRAYFORMULA(TIMEVALUE(SPLIT(E506,"" ""))))"),0.8138888888888889)</f>
        <v>0.8138888889</v>
      </c>
      <c r="H506" s="45"/>
      <c r="I506" s="45"/>
      <c r="J506" s="46">
        <f t="shared" si="36"/>
        <v>3</v>
      </c>
      <c r="K506" s="27"/>
      <c r="L506" s="38"/>
      <c r="M506" s="38" t="str">
        <f t="shared" si="29"/>
        <v/>
      </c>
      <c r="N506" s="47"/>
      <c r="O506" s="48" t="str">
        <f t="shared" si="30"/>
        <v>Tư</v>
      </c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idden="1">
      <c r="A507" s="42">
        <v>40828.0</v>
      </c>
      <c r="B507" s="42" t="s">
        <v>424</v>
      </c>
      <c r="C507" s="42" t="s">
        <v>207</v>
      </c>
      <c r="D507" s="43">
        <v>46240.0</v>
      </c>
      <c r="E507" s="42" t="s">
        <v>427</v>
      </c>
      <c r="F507" s="44">
        <f>IFERROR(__xludf.DUMMYFUNCTION("MIN(ARRAYFORMULA(TIMEVALUE(SPLIT(E507,"" ""))))"),0.32569444444444445)</f>
        <v>0.3256944444</v>
      </c>
      <c r="G507" s="44">
        <f>IFERROR(__xludf.DUMMYFUNCTION("MAX(ARRAYFORMULA(TIMEVALUE(SPLIT(E507,"" ""))))"),0.7340277777777777)</f>
        <v>0.7340277778</v>
      </c>
      <c r="H507" s="45"/>
      <c r="I507" s="45"/>
      <c r="J507" s="46">
        <f t="shared" si="36"/>
        <v>2</v>
      </c>
      <c r="K507" s="27"/>
      <c r="L507" s="38"/>
      <c r="M507" s="38" t="str">
        <f t="shared" si="29"/>
        <v/>
      </c>
      <c r="N507" s="47"/>
      <c r="O507" s="48" t="str">
        <f t="shared" si="30"/>
        <v>Năm</v>
      </c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idden="1">
      <c r="A508" s="42">
        <v>40828.0</v>
      </c>
      <c r="B508" s="42" t="s">
        <v>424</v>
      </c>
      <c r="C508" s="42" t="s">
        <v>207</v>
      </c>
      <c r="D508" s="43">
        <v>46241.0</v>
      </c>
      <c r="E508" s="42" t="s">
        <v>428</v>
      </c>
      <c r="F508" s="44">
        <f>IFERROR(__xludf.DUMMYFUNCTION("MIN(ARRAYFORMULA(TIMEVALUE(SPLIT(E508,"" ""))))"),0.37222222222222223)</f>
        <v>0.3722222222</v>
      </c>
      <c r="G508" s="44">
        <f>IFERROR(__xludf.DUMMYFUNCTION("MAX(ARRAYFORMULA(TIMEVALUE(SPLIT(E508,"" ""))))"),0.7444444444444445)</f>
        <v>0.7444444444</v>
      </c>
      <c r="H508" s="45"/>
      <c r="I508" s="45"/>
      <c r="J508" s="46">
        <f t="shared" si="36"/>
        <v>1</v>
      </c>
      <c r="K508" s="27"/>
      <c r="L508" s="38"/>
      <c r="M508" s="38" t="str">
        <f t="shared" si="29"/>
        <v/>
      </c>
      <c r="N508" s="47"/>
      <c r="O508" s="48" t="str">
        <f t="shared" si="30"/>
        <v>Sáu</v>
      </c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idden="1">
      <c r="A509" s="42">
        <v>40828.0</v>
      </c>
      <c r="B509" s="42" t="s">
        <v>424</v>
      </c>
      <c r="C509" s="42" t="s">
        <v>207</v>
      </c>
      <c r="D509" s="43">
        <v>46242.0</v>
      </c>
      <c r="E509" s="42" t="s">
        <v>429</v>
      </c>
      <c r="F509" s="44">
        <f>IFERROR(__xludf.DUMMYFUNCTION("MIN(ARRAYFORMULA(TIMEVALUE(SPLIT(E509,"" ""))))"),0.32708333333333334)</f>
        <v>0.3270833333</v>
      </c>
      <c r="G509" s="44">
        <f>IFERROR(__xludf.DUMMYFUNCTION("MAX(ARRAYFORMULA(TIMEVALUE(SPLIT(E509,"" ""))))"),0.5361111111111111)</f>
        <v>0.5361111111</v>
      </c>
      <c r="H509" s="45"/>
      <c r="I509" s="45"/>
      <c r="J509" s="46">
        <f t="shared" si="36"/>
        <v>1</v>
      </c>
      <c r="K509" s="27"/>
      <c r="L509" s="38"/>
      <c r="M509" s="38" t="str">
        <f t="shared" si="29"/>
        <v/>
      </c>
      <c r="N509" s="47"/>
      <c r="O509" s="48" t="str">
        <f t="shared" si="30"/>
        <v>Bảy</v>
      </c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idden="1">
      <c r="A510" s="42">
        <v>40828.0</v>
      </c>
      <c r="B510" s="42" t="s">
        <v>424</v>
      </c>
      <c r="C510" s="42" t="s">
        <v>207</v>
      </c>
      <c r="D510" s="43">
        <v>46244.0</v>
      </c>
      <c r="E510" s="42" t="s">
        <v>430</v>
      </c>
      <c r="F510" s="44">
        <f>IFERROR(__xludf.DUMMYFUNCTION("MIN(ARRAYFORMULA(TIMEVALUE(SPLIT(E510,"" ""))))"),0.32708333333333334)</f>
        <v>0.3270833333</v>
      </c>
      <c r="G510" s="44">
        <f>IFERROR(__xludf.DUMMYFUNCTION("MAX(ARRAYFORMULA(TIMEVALUE(SPLIT(E510,"" ""))))"),0.7951388888888888)</f>
        <v>0.7951388889</v>
      </c>
      <c r="H510" s="45"/>
      <c r="I510" s="45"/>
      <c r="J510" s="46">
        <f t="shared" si="36"/>
        <v>2</v>
      </c>
      <c r="K510" s="27"/>
      <c r="L510" s="38"/>
      <c r="M510" s="38" t="str">
        <f t="shared" si="29"/>
        <v/>
      </c>
      <c r="N510" s="47"/>
      <c r="O510" s="48" t="str">
        <f t="shared" si="30"/>
        <v>Hai</v>
      </c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idden="1">
      <c r="A511" s="42">
        <v>40828.0</v>
      </c>
      <c r="B511" s="42" t="s">
        <v>424</v>
      </c>
      <c r="C511" s="42" t="s">
        <v>207</v>
      </c>
      <c r="D511" s="43">
        <v>46248.0</v>
      </c>
      <c r="E511" s="42" t="s">
        <v>431</v>
      </c>
      <c r="F511" s="44">
        <f>IFERROR(__xludf.DUMMYFUNCTION("MIN(ARRAYFORMULA(TIMEVALUE(SPLIT(E511,"" ""))))"),0.32222222222222224)</f>
        <v>0.3222222222</v>
      </c>
      <c r="G511" s="44">
        <f>IFERROR(__xludf.DUMMYFUNCTION("MAX(ARRAYFORMULA(TIMEVALUE(SPLIT(E511,"" ""))))"),0.7444444444444445)</f>
        <v>0.7444444444</v>
      </c>
      <c r="H511" s="45"/>
      <c r="I511" s="45"/>
      <c r="J511" s="46">
        <f t="shared" si="36"/>
        <v>2</v>
      </c>
      <c r="K511" s="27"/>
      <c r="L511" s="38"/>
      <c r="M511" s="38" t="str">
        <f t="shared" si="29"/>
        <v/>
      </c>
      <c r="N511" s="47"/>
      <c r="O511" s="48" t="str">
        <f t="shared" si="30"/>
        <v>Sáu</v>
      </c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idden="1">
      <c r="A512" s="42">
        <v>40828.0</v>
      </c>
      <c r="B512" s="42" t="s">
        <v>424</v>
      </c>
      <c r="C512" s="42" t="s">
        <v>207</v>
      </c>
      <c r="D512" s="43">
        <v>46251.0</v>
      </c>
      <c r="E512" s="42" t="s">
        <v>432</v>
      </c>
      <c r="F512" s="44">
        <f>IFERROR(__xludf.DUMMYFUNCTION("MIN(ARRAYFORMULA(TIMEVALUE(SPLIT(E512,"" ""))))"),0.3229166666666667)</f>
        <v>0.3229166667</v>
      </c>
      <c r="G512" s="44">
        <f>IFERROR(__xludf.DUMMYFUNCTION("MAX(ARRAYFORMULA(TIMEVALUE(SPLIT(E512,"" ""))))"),0.6763888888888889)</f>
        <v>0.6763888889</v>
      </c>
      <c r="H512" s="45"/>
      <c r="I512" s="45"/>
      <c r="J512" s="46">
        <f t="shared" si="36"/>
        <v>1</v>
      </c>
      <c r="K512" s="27"/>
      <c r="L512" s="38"/>
      <c r="M512" s="38" t="str">
        <f t="shared" si="29"/>
        <v/>
      </c>
      <c r="N512" s="47"/>
      <c r="O512" s="48" t="str">
        <f t="shared" si="30"/>
        <v>Hai</v>
      </c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idden="1">
      <c r="A513" s="42">
        <v>40828.0</v>
      </c>
      <c r="B513" s="42" t="s">
        <v>424</v>
      </c>
      <c r="C513" s="42" t="s">
        <v>207</v>
      </c>
      <c r="D513" s="43">
        <v>46252.0</v>
      </c>
      <c r="E513" s="42" t="s">
        <v>433</v>
      </c>
      <c r="F513" s="44">
        <f>IFERROR(__xludf.DUMMYFUNCTION("MIN(ARRAYFORMULA(TIMEVALUE(SPLIT(E513,"" ""))))"),0.3284722222222222)</f>
        <v>0.3284722222</v>
      </c>
      <c r="G513" s="44">
        <f>IFERROR(__xludf.DUMMYFUNCTION("MAX(ARRAYFORMULA(TIMEVALUE(SPLIT(E513,"" ""))))"),0.7263888888888889)</f>
        <v>0.7263888889</v>
      </c>
      <c r="H513" s="45"/>
      <c r="I513" s="45"/>
      <c r="J513" s="46">
        <f t="shared" si="36"/>
        <v>2</v>
      </c>
      <c r="K513" s="27"/>
      <c r="L513" s="38"/>
      <c r="M513" s="38" t="str">
        <f t="shared" si="29"/>
        <v/>
      </c>
      <c r="N513" s="47"/>
      <c r="O513" s="48" t="str">
        <f t="shared" si="30"/>
        <v>Ba</v>
      </c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idden="1">
      <c r="A514" s="42">
        <v>40828.0</v>
      </c>
      <c r="B514" s="42" t="s">
        <v>424</v>
      </c>
      <c r="C514" s="42" t="s">
        <v>207</v>
      </c>
      <c r="D514" s="43">
        <v>46253.0</v>
      </c>
      <c r="E514" s="42" t="s">
        <v>434</v>
      </c>
      <c r="F514" s="44">
        <f>IFERROR(__xludf.DUMMYFUNCTION("MIN(ARRAYFORMULA(TIMEVALUE(SPLIT(E514,"" ""))))"),0.32916666666666666)</f>
        <v>0.3291666667</v>
      </c>
      <c r="G514" s="44">
        <f>IFERROR(__xludf.DUMMYFUNCTION("MAX(ARRAYFORMULA(TIMEVALUE(SPLIT(E514,"" ""))))"),0.7229166666666667)</f>
        <v>0.7229166667</v>
      </c>
      <c r="H514" s="45"/>
      <c r="I514" s="45"/>
      <c r="J514" s="46">
        <f t="shared" si="36"/>
        <v>1</v>
      </c>
      <c r="K514" s="27"/>
      <c r="L514" s="38"/>
      <c r="M514" s="38" t="str">
        <f t="shared" si="29"/>
        <v/>
      </c>
      <c r="N514" s="47"/>
      <c r="O514" s="48" t="str">
        <f t="shared" si="30"/>
        <v>Tư</v>
      </c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idden="1">
      <c r="A515" s="42">
        <v>40828.0</v>
      </c>
      <c r="B515" s="42" t="s">
        <v>424</v>
      </c>
      <c r="C515" s="42" t="s">
        <v>207</v>
      </c>
      <c r="D515" s="43">
        <v>46254.0</v>
      </c>
      <c r="E515" s="53">
        <v>0.3333333333333333</v>
      </c>
      <c r="F515" s="44">
        <f>IFERROR(__xludf.DUMMYFUNCTION("MIN(ARRAYFORMULA(TIMEVALUE(SPLIT(E515,"" ""))))"),0.3333333333333333)</f>
        <v>0.3333333333</v>
      </c>
      <c r="G515" s="44">
        <f>IFERROR(__xludf.DUMMYFUNCTION("MAX(ARRAYFORMULA(TIMEVALUE(SPLIT(E515,"" ""))))"),0.3333333333333333)</f>
        <v>0.3333333333</v>
      </c>
      <c r="H515" s="45"/>
      <c r="I515" s="45"/>
      <c r="J515" s="46">
        <f t="shared" si="36"/>
        <v>0</v>
      </c>
      <c r="K515" s="27"/>
      <c r="L515" s="38"/>
      <c r="M515" s="38" t="str">
        <f t="shared" si="29"/>
        <v/>
      </c>
      <c r="N515" s="47"/>
      <c r="O515" s="48" t="str">
        <f t="shared" si="30"/>
        <v>Năm</v>
      </c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idden="1">
      <c r="A516" s="42">
        <v>40828.0</v>
      </c>
      <c r="B516" s="42" t="s">
        <v>424</v>
      </c>
      <c r="C516" s="42" t="s">
        <v>207</v>
      </c>
      <c r="D516" s="43">
        <v>46255.0</v>
      </c>
      <c r="E516" s="42" t="s">
        <v>435</v>
      </c>
      <c r="F516" s="44">
        <f>IFERROR(__xludf.DUMMYFUNCTION("MIN(ARRAYFORMULA(TIMEVALUE(SPLIT(E516,"" ""))))"),0.3326388888888889)</f>
        <v>0.3326388889</v>
      </c>
      <c r="G516" s="44">
        <f>IFERROR(__xludf.DUMMYFUNCTION("MAX(ARRAYFORMULA(TIMEVALUE(SPLIT(E516,"" ""))))"),0.7222222222222222)</f>
        <v>0.7222222222</v>
      </c>
      <c r="H516" s="45"/>
      <c r="I516" s="45"/>
      <c r="J516" s="46">
        <f t="shared" si="36"/>
        <v>1</v>
      </c>
      <c r="K516" s="27"/>
      <c r="L516" s="38"/>
      <c r="M516" s="38" t="str">
        <f t="shared" si="29"/>
        <v/>
      </c>
      <c r="N516" s="47"/>
      <c r="O516" s="48" t="str">
        <f t="shared" si="30"/>
        <v>Sáu</v>
      </c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idden="1">
      <c r="A517" s="42">
        <v>40828.0</v>
      </c>
      <c r="B517" s="42" t="s">
        <v>424</v>
      </c>
      <c r="C517" s="42" t="s">
        <v>207</v>
      </c>
      <c r="D517" s="43">
        <v>46256.0</v>
      </c>
      <c r="E517" s="42" t="s">
        <v>436</v>
      </c>
      <c r="F517" s="44">
        <f>IFERROR(__xludf.DUMMYFUNCTION("MIN(ARRAYFORMULA(TIMEVALUE(SPLIT(E517,"" ""))))"),0.3298611111111111)</f>
        <v>0.3298611111</v>
      </c>
      <c r="G517" s="44">
        <f>IFERROR(__xludf.DUMMYFUNCTION("MAX(ARRAYFORMULA(TIMEVALUE(SPLIT(E517,"" ""))))"),0.7229166666666667)</f>
        <v>0.7229166667</v>
      </c>
      <c r="H517" s="45"/>
      <c r="I517" s="45"/>
      <c r="J517" s="46">
        <f t="shared" si="36"/>
        <v>1</v>
      </c>
      <c r="K517" s="27"/>
      <c r="L517" s="38"/>
      <c r="M517" s="38" t="str">
        <f t="shared" si="29"/>
        <v/>
      </c>
      <c r="N517" s="47"/>
      <c r="O517" s="48" t="str">
        <f t="shared" si="30"/>
        <v>Bảy</v>
      </c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idden="1">
      <c r="A518" s="42">
        <v>40828.0</v>
      </c>
      <c r="B518" s="42" t="s">
        <v>424</v>
      </c>
      <c r="C518" s="42" t="s">
        <v>207</v>
      </c>
      <c r="D518" s="43">
        <v>46258.0</v>
      </c>
      <c r="E518" s="42" t="s">
        <v>437</v>
      </c>
      <c r="F518" s="44">
        <f>IFERROR(__xludf.DUMMYFUNCTION("MIN(ARRAYFORMULA(TIMEVALUE(SPLIT(E518,"" ""))))"),0.3388888888888889)</f>
        <v>0.3388888889</v>
      </c>
      <c r="G518" s="44">
        <f>IFERROR(__xludf.DUMMYFUNCTION("MAX(ARRAYFORMULA(TIMEVALUE(SPLIT(E518,"" ""))))"),0.7277777777777777)</f>
        <v>0.7277777778</v>
      </c>
      <c r="H518" s="42"/>
      <c r="I518" s="45"/>
      <c r="J518" s="46">
        <f t="shared" si="36"/>
        <v>2</v>
      </c>
      <c r="K518" s="27"/>
      <c r="L518" s="38"/>
      <c r="M518" s="38" t="str">
        <f t="shared" si="29"/>
        <v/>
      </c>
      <c r="N518" s="47"/>
      <c r="O518" s="48" t="str">
        <f t="shared" si="30"/>
        <v>Hai</v>
      </c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idden="1">
      <c r="A519" s="42">
        <v>40828.0</v>
      </c>
      <c r="B519" s="42" t="s">
        <v>424</v>
      </c>
      <c r="C519" s="42" t="s">
        <v>207</v>
      </c>
      <c r="D519" s="43">
        <v>46259.0</v>
      </c>
      <c r="E519" s="42" t="s">
        <v>438</v>
      </c>
      <c r="F519" s="44">
        <f>IFERROR(__xludf.DUMMYFUNCTION("MIN(ARRAYFORMULA(TIMEVALUE(SPLIT(E519,"" ""))))"),0.3375)</f>
        <v>0.3375</v>
      </c>
      <c r="G519" s="44">
        <f>IFERROR(__xludf.DUMMYFUNCTION("MAX(ARRAYFORMULA(TIMEVALUE(SPLIT(E519,"" ""))))"),0.7263888888888889)</f>
        <v>0.7263888889</v>
      </c>
      <c r="H519" s="45"/>
      <c r="I519" s="45"/>
      <c r="J519" s="46">
        <f t="shared" si="36"/>
        <v>2</v>
      </c>
      <c r="K519" s="27"/>
      <c r="L519" s="38"/>
      <c r="M519" s="38" t="str">
        <f t="shared" si="29"/>
        <v/>
      </c>
      <c r="N519" s="47"/>
      <c r="O519" s="48" t="str">
        <f t="shared" si="30"/>
        <v>Ba</v>
      </c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idden="1">
      <c r="A520" s="42">
        <v>40828.0</v>
      </c>
      <c r="B520" s="42" t="s">
        <v>424</v>
      </c>
      <c r="C520" s="42" t="s">
        <v>207</v>
      </c>
      <c r="D520" s="43">
        <v>46260.0</v>
      </c>
      <c r="E520" s="42" t="s">
        <v>439</v>
      </c>
      <c r="F520" s="44">
        <f>IFERROR(__xludf.DUMMYFUNCTION("MIN(ARRAYFORMULA(TIMEVALUE(SPLIT(E520,"" ""))))"),0.4701388888888889)</f>
        <v>0.4701388889</v>
      </c>
      <c r="G520" s="44">
        <f>IFERROR(__xludf.DUMMYFUNCTION("MAX(ARRAYFORMULA(TIMEVALUE(SPLIT(E520,"" ""))))"),0.7090277777777778)</f>
        <v>0.7090277778</v>
      </c>
      <c r="H520" s="45"/>
      <c r="I520" s="45"/>
      <c r="J520" s="46">
        <f t="shared" si="36"/>
        <v>0</v>
      </c>
      <c r="K520" s="27"/>
      <c r="L520" s="38"/>
      <c r="M520" s="38" t="str">
        <f t="shared" si="29"/>
        <v/>
      </c>
      <c r="N520" s="47"/>
      <c r="O520" s="48" t="str">
        <f t="shared" si="30"/>
        <v>Tư</v>
      </c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idden="1">
      <c r="A521" s="42">
        <v>40828.0</v>
      </c>
      <c r="B521" s="42" t="s">
        <v>424</v>
      </c>
      <c r="C521" s="42" t="s">
        <v>207</v>
      </c>
      <c r="D521" s="43">
        <v>46261.0</v>
      </c>
      <c r="E521" s="42" t="s">
        <v>440</v>
      </c>
      <c r="F521" s="44">
        <f>IFERROR(__xludf.DUMMYFUNCTION("MIN(ARRAYFORMULA(TIMEVALUE(SPLIT(E521,"" ""))))"),0.5534722222222223)</f>
        <v>0.5534722222</v>
      </c>
      <c r="G521" s="44">
        <f>IFERROR(__xludf.DUMMYFUNCTION("MAX(ARRAYFORMULA(TIMEVALUE(SPLIT(E521,"" ""))))"),0.7298611111111111)</f>
        <v>0.7298611111</v>
      </c>
      <c r="H521" s="45"/>
      <c r="I521" s="45"/>
      <c r="J521" s="46">
        <f t="shared" si="36"/>
        <v>1</v>
      </c>
      <c r="K521" s="27"/>
      <c r="L521" s="38"/>
      <c r="M521" s="38" t="str">
        <f t="shared" si="29"/>
        <v/>
      </c>
      <c r="N521" s="47"/>
      <c r="O521" s="48" t="str">
        <f t="shared" si="30"/>
        <v>Năm</v>
      </c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idden="1">
      <c r="A522" s="42">
        <v>40828.0</v>
      </c>
      <c r="B522" s="42" t="s">
        <v>424</v>
      </c>
      <c r="C522" s="42" t="s">
        <v>207</v>
      </c>
      <c r="D522" s="43">
        <v>46262.0</v>
      </c>
      <c r="E522" s="42" t="s">
        <v>441</v>
      </c>
      <c r="F522" s="44">
        <f>IFERROR(__xludf.DUMMYFUNCTION("MIN(ARRAYFORMULA(TIMEVALUE(SPLIT(E522,"" ""))))"),0.33402777777777776)</f>
        <v>0.3340277778</v>
      </c>
      <c r="G522" s="44">
        <f>IFERROR(__xludf.DUMMYFUNCTION("MAX(ARRAYFORMULA(TIMEVALUE(SPLIT(E522,"" ""))))"),0.7340277777777777)</f>
        <v>0.7340277778</v>
      </c>
      <c r="H522" s="45"/>
      <c r="I522" s="45"/>
      <c r="J522" s="46">
        <f t="shared" si="36"/>
        <v>2</v>
      </c>
      <c r="K522" s="27"/>
      <c r="L522" s="38"/>
      <c r="M522" s="38" t="str">
        <f t="shared" si="29"/>
        <v/>
      </c>
      <c r="N522" s="47"/>
      <c r="O522" s="48" t="str">
        <f t="shared" si="30"/>
        <v>Sáu</v>
      </c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idden="1">
      <c r="A523" s="42">
        <v>40828.0</v>
      </c>
      <c r="B523" s="42" t="s">
        <v>424</v>
      </c>
      <c r="C523" s="42" t="s">
        <v>207</v>
      </c>
      <c r="D523" s="43">
        <v>46263.0</v>
      </c>
      <c r="E523" s="42" t="s">
        <v>442</v>
      </c>
      <c r="F523" s="44">
        <f>IFERROR(__xludf.DUMMYFUNCTION("MIN(ARRAYFORMULA(TIMEVALUE(SPLIT(E523,"" ""))))"),0.3326388888888889)</f>
        <v>0.3326388889</v>
      </c>
      <c r="G523" s="44">
        <f>IFERROR(__xludf.DUMMYFUNCTION("MAX(ARRAYFORMULA(TIMEVALUE(SPLIT(E523,"" ""))))"),0.7208333333333333)</f>
        <v>0.7208333333</v>
      </c>
      <c r="H523" s="45"/>
      <c r="I523" s="45"/>
      <c r="J523" s="46">
        <f t="shared" si="36"/>
        <v>1</v>
      </c>
      <c r="K523" s="27"/>
      <c r="L523" s="38"/>
      <c r="M523" s="38" t="str">
        <f t="shared" si="29"/>
        <v/>
      </c>
      <c r="N523" s="47"/>
      <c r="O523" s="48" t="str">
        <f t="shared" si="30"/>
        <v>Bảy</v>
      </c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idden="1">
      <c r="A524" s="42">
        <v>40828.0</v>
      </c>
      <c r="B524" s="42" t="s">
        <v>424</v>
      </c>
      <c r="C524" s="42" t="s">
        <v>207</v>
      </c>
      <c r="D524" s="43">
        <v>46265.0</v>
      </c>
      <c r="E524" s="42" t="s">
        <v>443</v>
      </c>
      <c r="F524" s="44">
        <f>IFERROR(__xludf.DUMMYFUNCTION("MIN(ARRAYFORMULA(TIMEVALUE(SPLIT(E524,"" ""))))"),0.33055555555555555)</f>
        <v>0.3305555556</v>
      </c>
      <c r="G524" s="44">
        <f>IFERROR(__xludf.DUMMYFUNCTION("MAX(ARRAYFORMULA(TIMEVALUE(SPLIT(E524,"" ""))))"),0.7402777777777778)</f>
        <v>0.7402777778</v>
      </c>
      <c r="H524" s="45"/>
      <c r="I524" s="45"/>
      <c r="J524" s="46">
        <f t="shared" si="36"/>
        <v>2</v>
      </c>
      <c r="K524" s="27"/>
      <c r="L524" s="38"/>
      <c r="M524" s="38" t="str">
        <f t="shared" si="29"/>
        <v/>
      </c>
      <c r="N524" s="47"/>
      <c r="O524" s="48" t="str">
        <f t="shared" si="30"/>
        <v>Hai</v>
      </c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42"/>
      <c r="B525" s="42"/>
      <c r="C525" s="42"/>
      <c r="D525" s="43"/>
      <c r="E525" s="42"/>
      <c r="F525" s="44" t="str">
        <f>IFERROR(__xludf.DUMMYFUNCTION("MIN(ARRAYFORMULA(TIMEVALUE(SPLIT(E525,"" ""))))"),"#VALUE!")</f>
        <v>#VALUE!</v>
      </c>
      <c r="G525" s="44" t="str">
        <f>IFERROR(__xludf.DUMMYFUNCTION("MAX(ARRAYFORMULA(TIMEVALUE(SPLIT(E525,"" ""))))"),"#VALUE!")</f>
        <v>#VALUE!</v>
      </c>
      <c r="H525" s="45"/>
      <c r="I525" s="45"/>
      <c r="J525" s="46" t="str">
        <f t="shared" si="36"/>
        <v>#VALUE!</v>
      </c>
      <c r="K525" s="27"/>
      <c r="L525" s="38"/>
      <c r="M525" s="38" t="str">
        <f t="shared" si="29"/>
        <v/>
      </c>
      <c r="N525" s="47"/>
      <c r="O525" s="48" t="str">
        <f t="shared" si="30"/>
        <v>Bảy</v>
      </c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42"/>
      <c r="B526" s="42"/>
      <c r="C526" s="42"/>
      <c r="D526" s="43"/>
      <c r="E526" s="42"/>
      <c r="F526" s="44" t="str">
        <f>IFERROR(__xludf.DUMMYFUNCTION("MIN(ARRAYFORMULA(TIMEVALUE(SPLIT(E526,"" ""))))"),"#VALUE!")</f>
        <v>#VALUE!</v>
      </c>
      <c r="G526" s="44" t="str">
        <f>IFERROR(__xludf.DUMMYFUNCTION("MAX(ARRAYFORMULA(TIMEVALUE(SPLIT(E526,"" ""))))"),"#VALUE!")</f>
        <v>#VALUE!</v>
      </c>
      <c r="H526" s="45"/>
      <c r="I526" s="45"/>
      <c r="J526" s="46" t="str">
        <f t="shared" si="36"/>
        <v>#VALUE!</v>
      </c>
      <c r="K526" s="27"/>
      <c r="L526" s="38"/>
      <c r="M526" s="38" t="str">
        <f t="shared" si="29"/>
        <v/>
      </c>
      <c r="N526" s="47"/>
      <c r="O526" s="48" t="str">
        <f t="shared" si="30"/>
        <v>Bảy</v>
      </c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42"/>
      <c r="B527" s="42"/>
      <c r="C527" s="42"/>
      <c r="D527" s="43"/>
      <c r="E527" s="42"/>
      <c r="F527" s="44" t="str">
        <f>IFERROR(__xludf.DUMMYFUNCTION("MIN(ARRAYFORMULA(TIMEVALUE(SPLIT(E527,"" ""))))"),"#VALUE!")</f>
        <v>#VALUE!</v>
      </c>
      <c r="G527" s="44" t="str">
        <f>IFERROR(__xludf.DUMMYFUNCTION("MAX(ARRAYFORMULA(TIMEVALUE(SPLIT(E527,"" ""))))"),"#VALUE!")</f>
        <v>#VALUE!</v>
      </c>
      <c r="H527" s="45"/>
      <c r="I527" s="45"/>
      <c r="J527" s="46" t="str">
        <f t="shared" si="36"/>
        <v>#VALUE!</v>
      </c>
      <c r="K527" s="27"/>
      <c r="L527" s="38"/>
      <c r="M527" s="38" t="str">
        <f t="shared" si="29"/>
        <v/>
      </c>
      <c r="N527" s="47"/>
      <c r="O527" s="48" t="str">
        <f t="shared" si="30"/>
        <v>Bảy</v>
      </c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42"/>
      <c r="B528" s="42"/>
      <c r="C528" s="42"/>
      <c r="D528" s="43"/>
      <c r="E528" s="42"/>
      <c r="F528" s="44" t="str">
        <f>IFERROR(__xludf.DUMMYFUNCTION("MIN(ARRAYFORMULA(TIMEVALUE(SPLIT(E528,"" ""))))"),"#VALUE!")</f>
        <v>#VALUE!</v>
      </c>
      <c r="G528" s="44" t="str">
        <f>IFERROR(__xludf.DUMMYFUNCTION("MAX(ARRAYFORMULA(TIMEVALUE(SPLIT(E528,"" ""))))"),"#VALUE!")</f>
        <v>#VALUE!</v>
      </c>
      <c r="H528" s="45"/>
      <c r="I528" s="45"/>
      <c r="J528" s="46" t="str">
        <f t="shared" si="36"/>
        <v>#VALUE!</v>
      </c>
      <c r="K528" s="27"/>
      <c r="L528" s="38"/>
      <c r="M528" s="38" t="str">
        <f t="shared" si="29"/>
        <v/>
      </c>
      <c r="N528" s="47"/>
      <c r="O528" s="48" t="str">
        <f t="shared" si="30"/>
        <v>Bảy</v>
      </c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42"/>
      <c r="B529" s="42"/>
      <c r="C529" s="42"/>
      <c r="D529" s="43"/>
      <c r="E529" s="42"/>
      <c r="F529" s="44" t="str">
        <f>IFERROR(__xludf.DUMMYFUNCTION("MIN(ARRAYFORMULA(TIMEVALUE(SPLIT(E529,"" ""))))"),"#VALUE!")</f>
        <v>#VALUE!</v>
      </c>
      <c r="G529" s="44" t="str">
        <f>IFERROR(__xludf.DUMMYFUNCTION("MAX(ARRAYFORMULA(TIMEVALUE(SPLIT(E529,"" ""))))"),"#VALUE!")</f>
        <v>#VALUE!</v>
      </c>
      <c r="H529" s="45"/>
      <c r="I529" s="45"/>
      <c r="J529" s="46" t="str">
        <f t="shared" si="36"/>
        <v>#VALUE!</v>
      </c>
      <c r="K529" s="27"/>
      <c r="L529" s="38"/>
      <c r="M529" s="38" t="str">
        <f t="shared" si="29"/>
        <v/>
      </c>
      <c r="N529" s="47"/>
      <c r="O529" s="48" t="str">
        <f t="shared" si="30"/>
        <v>Bảy</v>
      </c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42"/>
      <c r="B530" s="42"/>
      <c r="C530" s="42"/>
      <c r="D530" s="43"/>
      <c r="E530" s="42"/>
      <c r="F530" s="44" t="str">
        <f>IFERROR(__xludf.DUMMYFUNCTION("MIN(ARRAYFORMULA(TIMEVALUE(SPLIT(E530,"" ""))))"),"#VALUE!")</f>
        <v>#VALUE!</v>
      </c>
      <c r="G530" s="44" t="str">
        <f>IFERROR(__xludf.DUMMYFUNCTION("MAX(ARRAYFORMULA(TIMEVALUE(SPLIT(E530,"" ""))))"),"#VALUE!")</f>
        <v>#VALUE!</v>
      </c>
      <c r="H530" s="45"/>
      <c r="I530" s="45"/>
      <c r="J530" s="46" t="str">
        <f t="shared" si="36"/>
        <v>#VALUE!</v>
      </c>
      <c r="K530" s="27"/>
      <c r="L530" s="38"/>
      <c r="M530" s="38" t="str">
        <f t="shared" si="29"/>
        <v/>
      </c>
      <c r="N530" s="47"/>
      <c r="O530" s="48" t="str">
        <f t="shared" si="30"/>
        <v>Bảy</v>
      </c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42"/>
      <c r="B531" s="42"/>
      <c r="C531" s="42"/>
      <c r="D531" s="43"/>
      <c r="E531" s="42"/>
      <c r="F531" s="44" t="str">
        <f>IFERROR(__xludf.DUMMYFUNCTION("MIN(ARRAYFORMULA(TIMEVALUE(SPLIT(E531,"" ""))))"),"#VALUE!")</f>
        <v>#VALUE!</v>
      </c>
      <c r="G531" s="44" t="str">
        <f>IFERROR(__xludf.DUMMYFUNCTION("MAX(ARRAYFORMULA(TIMEVALUE(SPLIT(E531,"" ""))))"),"#VALUE!")</f>
        <v>#VALUE!</v>
      </c>
      <c r="H531" s="45"/>
      <c r="I531" s="45"/>
      <c r="J531" s="46" t="str">
        <f t="shared" si="36"/>
        <v>#VALUE!</v>
      </c>
      <c r="K531" s="27"/>
      <c r="L531" s="38"/>
      <c r="M531" s="38" t="str">
        <f t="shared" si="29"/>
        <v/>
      </c>
      <c r="N531" s="47"/>
      <c r="O531" s="48" t="str">
        <f t="shared" si="30"/>
        <v>Bảy</v>
      </c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42"/>
      <c r="B532" s="42"/>
      <c r="C532" s="42"/>
      <c r="D532" s="43"/>
      <c r="E532" s="42"/>
      <c r="F532" s="44" t="str">
        <f>IFERROR(__xludf.DUMMYFUNCTION("MIN(ARRAYFORMULA(TIMEVALUE(SPLIT(E532,"" ""))))"),"#VALUE!")</f>
        <v>#VALUE!</v>
      </c>
      <c r="G532" s="44" t="str">
        <f>IFERROR(__xludf.DUMMYFUNCTION("MAX(ARRAYFORMULA(TIMEVALUE(SPLIT(E532,"" ""))))"),"#VALUE!")</f>
        <v>#VALUE!</v>
      </c>
      <c r="H532" s="45"/>
      <c r="I532" s="45"/>
      <c r="J532" s="46" t="str">
        <f t="shared" si="36"/>
        <v>#VALUE!</v>
      </c>
      <c r="K532" s="27"/>
      <c r="L532" s="38"/>
      <c r="M532" s="38" t="str">
        <f t="shared" si="29"/>
        <v/>
      </c>
      <c r="N532" s="47"/>
      <c r="O532" s="48" t="str">
        <f t="shared" si="30"/>
        <v>Bảy</v>
      </c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42"/>
      <c r="B533" s="42"/>
      <c r="C533" s="42"/>
      <c r="D533" s="43"/>
      <c r="E533" s="42"/>
      <c r="F533" s="44" t="str">
        <f>IFERROR(__xludf.DUMMYFUNCTION("MIN(ARRAYFORMULA(TIMEVALUE(SPLIT(E533,"" ""))))"),"#VALUE!")</f>
        <v>#VALUE!</v>
      </c>
      <c r="G533" s="44" t="str">
        <f>IFERROR(__xludf.DUMMYFUNCTION("MAX(ARRAYFORMULA(TIMEVALUE(SPLIT(E533,"" ""))))"),"#VALUE!")</f>
        <v>#VALUE!</v>
      </c>
      <c r="H533" s="45"/>
      <c r="I533" s="45"/>
      <c r="J533" s="46" t="str">
        <f t="shared" si="36"/>
        <v>#VALUE!</v>
      </c>
      <c r="K533" s="27"/>
      <c r="L533" s="38"/>
      <c r="M533" s="38" t="str">
        <f t="shared" si="29"/>
        <v/>
      </c>
      <c r="N533" s="47"/>
      <c r="O533" s="48" t="str">
        <f t="shared" si="30"/>
        <v>Bảy</v>
      </c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42"/>
      <c r="B534" s="42"/>
      <c r="C534" s="42"/>
      <c r="D534" s="43"/>
      <c r="E534" s="42"/>
      <c r="F534" s="44" t="str">
        <f>IFERROR(__xludf.DUMMYFUNCTION("MIN(ARRAYFORMULA(TIMEVALUE(SPLIT(E534,"" ""))))"),"#VALUE!")</f>
        <v>#VALUE!</v>
      </c>
      <c r="G534" s="44" t="str">
        <f>IFERROR(__xludf.DUMMYFUNCTION("MAX(ARRAYFORMULA(TIMEVALUE(SPLIT(E534,"" ""))))"),"#VALUE!")</f>
        <v>#VALUE!</v>
      </c>
      <c r="H534" s="45"/>
      <c r="I534" s="45"/>
      <c r="J534" s="46" t="str">
        <f t="shared" si="36"/>
        <v>#VALUE!</v>
      </c>
      <c r="K534" s="27"/>
      <c r="L534" s="38"/>
      <c r="M534" s="38" t="str">
        <f t="shared" si="29"/>
        <v/>
      </c>
      <c r="N534" s="47"/>
      <c r="O534" s="48" t="str">
        <f t="shared" si="30"/>
        <v>Bảy</v>
      </c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42"/>
      <c r="B535" s="42"/>
      <c r="C535" s="42"/>
      <c r="D535" s="43"/>
      <c r="E535" s="42"/>
      <c r="F535" s="44" t="str">
        <f>IFERROR(__xludf.DUMMYFUNCTION("MIN(ARRAYFORMULA(TIMEVALUE(SPLIT(E535,"" ""))))"),"#VALUE!")</f>
        <v>#VALUE!</v>
      </c>
      <c r="G535" s="44" t="str">
        <f>IFERROR(__xludf.DUMMYFUNCTION("MAX(ARRAYFORMULA(TIMEVALUE(SPLIT(E535,"" ""))))"),"#VALUE!")</f>
        <v>#VALUE!</v>
      </c>
      <c r="H535" s="45"/>
      <c r="I535" s="45"/>
      <c r="J535" s="46" t="str">
        <f t="shared" si="36"/>
        <v>#VALUE!</v>
      </c>
      <c r="K535" s="27"/>
      <c r="L535" s="38"/>
      <c r="M535" s="38" t="str">
        <f t="shared" si="29"/>
        <v/>
      </c>
      <c r="N535" s="47"/>
      <c r="O535" s="48" t="str">
        <f t="shared" si="30"/>
        <v>Bảy</v>
      </c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42"/>
      <c r="B536" s="42"/>
      <c r="C536" s="42"/>
      <c r="D536" s="43"/>
      <c r="E536" s="42"/>
      <c r="F536" s="44" t="str">
        <f>IFERROR(__xludf.DUMMYFUNCTION("MIN(ARRAYFORMULA(TIMEVALUE(SPLIT(E536,"" ""))))"),"#VALUE!")</f>
        <v>#VALUE!</v>
      </c>
      <c r="G536" s="44" t="str">
        <f>IFERROR(__xludf.DUMMYFUNCTION("MAX(ARRAYFORMULA(TIMEVALUE(SPLIT(E536,"" ""))))"),"#VALUE!")</f>
        <v>#VALUE!</v>
      </c>
      <c r="H536" s="45"/>
      <c r="I536" s="45"/>
      <c r="J536" s="46" t="str">
        <f t="shared" si="36"/>
        <v>#VALUE!</v>
      </c>
      <c r="K536" s="27"/>
      <c r="L536" s="38"/>
      <c r="M536" s="38" t="str">
        <f t="shared" si="29"/>
        <v/>
      </c>
      <c r="N536" s="47"/>
      <c r="O536" s="48" t="str">
        <f t="shared" si="30"/>
        <v>Bảy</v>
      </c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42"/>
      <c r="B537" s="42"/>
      <c r="C537" s="42"/>
      <c r="D537" s="43"/>
      <c r="E537" s="42"/>
      <c r="F537" s="44" t="str">
        <f>IFERROR(__xludf.DUMMYFUNCTION("MIN(ARRAYFORMULA(TIMEVALUE(SPLIT(E537,"" ""))))"),"#VALUE!")</f>
        <v>#VALUE!</v>
      </c>
      <c r="G537" s="44" t="str">
        <f>IFERROR(__xludf.DUMMYFUNCTION("MAX(ARRAYFORMULA(TIMEVALUE(SPLIT(E537,"" ""))))"),"#VALUE!")</f>
        <v>#VALUE!</v>
      </c>
      <c r="H537" s="45"/>
      <c r="I537" s="45"/>
      <c r="J537" s="46" t="str">
        <f t="shared" si="36"/>
        <v>#VALUE!</v>
      </c>
      <c r="K537" s="27"/>
      <c r="L537" s="38"/>
      <c r="M537" s="38" t="str">
        <f t="shared" si="29"/>
        <v/>
      </c>
      <c r="N537" s="47"/>
      <c r="O537" s="48" t="str">
        <f t="shared" si="30"/>
        <v>Bảy</v>
      </c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42"/>
      <c r="B538" s="42"/>
      <c r="C538" s="42"/>
      <c r="D538" s="43"/>
      <c r="E538" s="42"/>
      <c r="F538" s="44" t="str">
        <f>IFERROR(__xludf.DUMMYFUNCTION("MIN(ARRAYFORMULA(TIMEVALUE(SPLIT(E538,"" ""))))"),"#VALUE!")</f>
        <v>#VALUE!</v>
      </c>
      <c r="G538" s="44" t="str">
        <f>IFERROR(__xludf.DUMMYFUNCTION("MAX(ARRAYFORMULA(TIMEVALUE(SPLIT(E538,"" ""))))"),"#VALUE!")</f>
        <v>#VALUE!</v>
      </c>
      <c r="H538" s="45"/>
      <c r="I538" s="45"/>
      <c r="J538" s="46" t="str">
        <f t="shared" si="36"/>
        <v>#VALUE!</v>
      </c>
      <c r="K538" s="27"/>
      <c r="L538" s="38"/>
      <c r="M538" s="38" t="str">
        <f t="shared" si="29"/>
        <v/>
      </c>
      <c r="N538" s="47"/>
      <c r="O538" s="48" t="str">
        <f t="shared" si="30"/>
        <v>Bảy</v>
      </c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42"/>
      <c r="B539" s="42"/>
      <c r="C539" s="42"/>
      <c r="D539" s="43"/>
      <c r="E539" s="42"/>
      <c r="F539" s="44" t="str">
        <f>IFERROR(__xludf.DUMMYFUNCTION("MIN(ARRAYFORMULA(TIMEVALUE(SPLIT(E539,"" ""))))"),"#VALUE!")</f>
        <v>#VALUE!</v>
      </c>
      <c r="G539" s="44" t="str">
        <f>IFERROR(__xludf.DUMMYFUNCTION("MAX(ARRAYFORMULA(TIMEVALUE(SPLIT(E539,"" ""))))"),"#VALUE!")</f>
        <v>#VALUE!</v>
      </c>
      <c r="H539" s="45"/>
      <c r="I539" s="45"/>
      <c r="J539" s="46" t="str">
        <f t="shared" si="36"/>
        <v>#VALUE!</v>
      </c>
      <c r="K539" s="27"/>
      <c r="L539" s="38"/>
      <c r="M539" s="38" t="str">
        <f t="shared" si="29"/>
        <v/>
      </c>
      <c r="N539" s="47"/>
      <c r="O539" s="48" t="str">
        <f t="shared" si="30"/>
        <v>Bảy</v>
      </c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42"/>
      <c r="B540" s="42"/>
      <c r="C540" s="42"/>
      <c r="D540" s="43"/>
      <c r="E540" s="42"/>
      <c r="F540" s="44" t="str">
        <f>IFERROR(__xludf.DUMMYFUNCTION("MIN(ARRAYFORMULA(TIMEVALUE(SPLIT(E540,"" ""))))"),"#VALUE!")</f>
        <v>#VALUE!</v>
      </c>
      <c r="G540" s="44" t="str">
        <f>IFERROR(__xludf.DUMMYFUNCTION("MAX(ARRAYFORMULA(TIMEVALUE(SPLIT(E540,"" ""))))"),"#VALUE!")</f>
        <v>#VALUE!</v>
      </c>
      <c r="H540" s="45"/>
      <c r="I540" s="45"/>
      <c r="J540" s="46" t="str">
        <f t="shared" si="36"/>
        <v>#VALUE!</v>
      </c>
      <c r="K540" s="27"/>
      <c r="L540" s="38"/>
      <c r="M540" s="38" t="str">
        <f t="shared" si="29"/>
        <v/>
      </c>
      <c r="N540" s="47"/>
      <c r="O540" s="48" t="str">
        <f t="shared" si="30"/>
        <v>Bảy</v>
      </c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42"/>
      <c r="B541" s="42"/>
      <c r="C541" s="42"/>
      <c r="D541" s="43"/>
      <c r="E541" s="42"/>
      <c r="F541" s="44" t="str">
        <f>IFERROR(__xludf.DUMMYFUNCTION("MIN(ARRAYFORMULA(TIMEVALUE(SPLIT(E541,"" ""))))"),"#VALUE!")</f>
        <v>#VALUE!</v>
      </c>
      <c r="G541" s="44" t="str">
        <f>IFERROR(__xludf.DUMMYFUNCTION("MAX(ARRAYFORMULA(TIMEVALUE(SPLIT(E541,"" ""))))"),"#VALUE!")</f>
        <v>#VALUE!</v>
      </c>
      <c r="H541" s="45"/>
      <c r="I541" s="45"/>
      <c r="J541" s="46" t="str">
        <f t="shared" si="36"/>
        <v>#VALUE!</v>
      </c>
      <c r="K541" s="27"/>
      <c r="L541" s="38"/>
      <c r="M541" s="38" t="str">
        <f t="shared" si="29"/>
        <v/>
      </c>
      <c r="N541" s="47"/>
      <c r="O541" s="48" t="str">
        <f t="shared" si="30"/>
        <v>Bảy</v>
      </c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42"/>
      <c r="B542" s="42"/>
      <c r="C542" s="42"/>
      <c r="D542" s="43"/>
      <c r="E542" s="42"/>
      <c r="F542" s="44" t="str">
        <f>IFERROR(__xludf.DUMMYFUNCTION("MIN(ARRAYFORMULA(TIMEVALUE(SPLIT(E542,"" ""))))"),"#VALUE!")</f>
        <v>#VALUE!</v>
      </c>
      <c r="G542" s="44" t="str">
        <f>IFERROR(__xludf.DUMMYFUNCTION("MAX(ARRAYFORMULA(TIMEVALUE(SPLIT(E542,"" ""))))"),"#VALUE!")</f>
        <v>#VALUE!</v>
      </c>
      <c r="H542" s="45"/>
      <c r="I542" s="45"/>
      <c r="J542" s="46" t="str">
        <f t="shared" si="36"/>
        <v>#VALUE!</v>
      </c>
      <c r="K542" s="27"/>
      <c r="L542" s="38"/>
      <c r="M542" s="38" t="str">
        <f t="shared" si="29"/>
        <v/>
      </c>
      <c r="N542" s="47"/>
      <c r="O542" s="48" t="str">
        <f t="shared" si="30"/>
        <v>Bảy</v>
      </c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42"/>
      <c r="B543" s="42"/>
      <c r="C543" s="42"/>
      <c r="D543" s="43"/>
      <c r="E543" s="42"/>
      <c r="F543" s="44" t="str">
        <f>IFERROR(__xludf.DUMMYFUNCTION("MIN(ARRAYFORMULA(TIMEVALUE(SPLIT(E543,"" ""))))"),"#VALUE!")</f>
        <v>#VALUE!</v>
      </c>
      <c r="G543" s="44" t="str">
        <f>IFERROR(__xludf.DUMMYFUNCTION("MAX(ARRAYFORMULA(TIMEVALUE(SPLIT(E543,"" ""))))"),"#VALUE!")</f>
        <v>#VALUE!</v>
      </c>
      <c r="H543" s="45"/>
      <c r="I543" s="45"/>
      <c r="J543" s="46" t="str">
        <f t="shared" si="36"/>
        <v>#VALUE!</v>
      </c>
      <c r="K543" s="27"/>
      <c r="L543" s="38"/>
      <c r="M543" s="38" t="str">
        <f t="shared" si="29"/>
        <v/>
      </c>
      <c r="N543" s="47"/>
      <c r="O543" s="48" t="str">
        <f t="shared" si="30"/>
        <v>Bảy</v>
      </c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42"/>
      <c r="B544" s="42"/>
      <c r="C544" s="42"/>
      <c r="D544" s="43"/>
      <c r="E544" s="42"/>
      <c r="F544" s="44" t="str">
        <f>IFERROR(__xludf.DUMMYFUNCTION("MIN(ARRAYFORMULA(TIMEVALUE(SPLIT(E544,"" ""))))"),"#VALUE!")</f>
        <v>#VALUE!</v>
      </c>
      <c r="G544" s="44" t="str">
        <f>IFERROR(__xludf.DUMMYFUNCTION("MAX(ARRAYFORMULA(TIMEVALUE(SPLIT(E544,"" ""))))"),"#VALUE!")</f>
        <v>#VALUE!</v>
      </c>
      <c r="H544" s="45"/>
      <c r="I544" s="45"/>
      <c r="J544" s="46" t="str">
        <f t="shared" si="36"/>
        <v>#VALUE!</v>
      </c>
      <c r="K544" s="27"/>
      <c r="L544" s="38"/>
      <c r="M544" s="38" t="str">
        <f t="shared" si="29"/>
        <v/>
      </c>
      <c r="N544" s="47"/>
      <c r="O544" s="48" t="str">
        <f t="shared" si="30"/>
        <v>Bảy</v>
      </c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42"/>
      <c r="B545" s="42"/>
      <c r="C545" s="42"/>
      <c r="D545" s="43"/>
      <c r="E545" s="42"/>
      <c r="F545" s="44" t="str">
        <f>IFERROR(__xludf.DUMMYFUNCTION("MIN(ARRAYFORMULA(TIMEVALUE(SPLIT(E545,"" ""))))"),"#VALUE!")</f>
        <v>#VALUE!</v>
      </c>
      <c r="G545" s="44" t="str">
        <f>IFERROR(__xludf.DUMMYFUNCTION("MAX(ARRAYFORMULA(TIMEVALUE(SPLIT(E545,"" ""))))"),"#VALUE!")</f>
        <v>#VALUE!</v>
      </c>
      <c r="H545" s="45"/>
      <c r="I545" s="45"/>
      <c r="J545" s="46" t="str">
        <f t="shared" si="36"/>
        <v>#VALUE!</v>
      </c>
      <c r="K545" s="27"/>
      <c r="L545" s="38"/>
      <c r="M545" s="38" t="str">
        <f t="shared" si="29"/>
        <v/>
      </c>
      <c r="N545" s="47"/>
      <c r="O545" s="48" t="str">
        <f t="shared" si="30"/>
        <v>Bảy</v>
      </c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42"/>
      <c r="B546" s="42"/>
      <c r="C546" s="42"/>
      <c r="D546" s="43"/>
      <c r="E546" s="42"/>
      <c r="F546" s="44" t="str">
        <f>IFERROR(__xludf.DUMMYFUNCTION("MIN(ARRAYFORMULA(TIMEVALUE(SPLIT(E546,"" ""))))"),"#VALUE!")</f>
        <v>#VALUE!</v>
      </c>
      <c r="G546" s="44" t="str">
        <f>IFERROR(__xludf.DUMMYFUNCTION("MAX(ARRAYFORMULA(TIMEVALUE(SPLIT(E546,"" ""))))"),"#VALUE!")</f>
        <v>#VALUE!</v>
      </c>
      <c r="H546" s="45"/>
      <c r="I546" s="45"/>
      <c r="J546" s="46" t="str">
        <f t="shared" si="36"/>
        <v>#VALUE!</v>
      </c>
      <c r="K546" s="27"/>
      <c r="L546" s="38"/>
      <c r="M546" s="38" t="str">
        <f t="shared" si="29"/>
        <v/>
      </c>
      <c r="N546" s="47"/>
      <c r="O546" s="48" t="str">
        <f t="shared" si="30"/>
        <v>Bảy</v>
      </c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42"/>
      <c r="B547" s="42"/>
      <c r="C547" s="42"/>
      <c r="D547" s="43"/>
      <c r="E547" s="42"/>
      <c r="F547" s="44" t="str">
        <f>IFERROR(__xludf.DUMMYFUNCTION("MIN(ARRAYFORMULA(TIMEVALUE(SPLIT(E547,"" ""))))"),"#VALUE!")</f>
        <v>#VALUE!</v>
      </c>
      <c r="G547" s="44" t="str">
        <f>IFERROR(__xludf.DUMMYFUNCTION("MAX(ARRAYFORMULA(TIMEVALUE(SPLIT(E547,"" ""))))"),"#VALUE!")</f>
        <v>#VALUE!</v>
      </c>
      <c r="H547" s="45"/>
      <c r="I547" s="45"/>
      <c r="J547" s="46" t="str">
        <f t="shared" si="36"/>
        <v>#VALUE!</v>
      </c>
      <c r="K547" s="27"/>
      <c r="L547" s="38"/>
      <c r="M547" s="38" t="str">
        <f t="shared" si="29"/>
        <v/>
      </c>
      <c r="N547" s="47"/>
      <c r="O547" s="48" t="str">
        <f t="shared" si="30"/>
        <v>Bảy</v>
      </c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42"/>
      <c r="B548" s="42"/>
      <c r="C548" s="42"/>
      <c r="D548" s="43"/>
      <c r="E548" s="42"/>
      <c r="F548" s="44" t="str">
        <f>IFERROR(__xludf.DUMMYFUNCTION("MIN(ARRAYFORMULA(TIMEVALUE(SPLIT(E548,"" ""))))"),"#VALUE!")</f>
        <v>#VALUE!</v>
      </c>
      <c r="G548" s="44" t="str">
        <f>IFERROR(__xludf.DUMMYFUNCTION("MAX(ARRAYFORMULA(TIMEVALUE(SPLIT(E548,"" ""))))"),"#VALUE!")</f>
        <v>#VALUE!</v>
      </c>
      <c r="H548" s="45"/>
      <c r="I548" s="45"/>
      <c r="J548" s="46" t="str">
        <f t="shared" si="36"/>
        <v>#VALUE!</v>
      </c>
      <c r="K548" s="27"/>
      <c r="L548" s="38"/>
      <c r="M548" s="38" t="str">
        <f t="shared" si="29"/>
        <v/>
      </c>
      <c r="N548" s="47"/>
      <c r="O548" s="48" t="str">
        <f t="shared" si="30"/>
        <v>Bảy</v>
      </c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42"/>
      <c r="B549" s="42"/>
      <c r="C549" s="42"/>
      <c r="D549" s="43"/>
      <c r="E549" s="42"/>
      <c r="F549" s="44" t="str">
        <f>IFERROR(__xludf.DUMMYFUNCTION("MIN(ARRAYFORMULA(TIMEVALUE(SPLIT(E549,"" ""))))"),"#VALUE!")</f>
        <v>#VALUE!</v>
      </c>
      <c r="G549" s="44" t="str">
        <f>IFERROR(__xludf.DUMMYFUNCTION("MAX(ARRAYFORMULA(TIMEVALUE(SPLIT(E549,"" ""))))"),"#VALUE!")</f>
        <v>#VALUE!</v>
      </c>
      <c r="H549" s="45"/>
      <c r="I549" s="45"/>
      <c r="J549" s="46" t="str">
        <f t="shared" si="36"/>
        <v>#VALUE!</v>
      </c>
      <c r="K549" s="27"/>
      <c r="L549" s="38"/>
      <c r="M549" s="38" t="str">
        <f t="shared" si="29"/>
        <v/>
      </c>
      <c r="N549" s="47"/>
      <c r="O549" s="48" t="str">
        <f t="shared" si="30"/>
        <v>Bảy</v>
      </c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42"/>
      <c r="B550" s="42"/>
      <c r="C550" s="42"/>
      <c r="D550" s="43"/>
      <c r="E550" s="42"/>
      <c r="F550" s="44" t="str">
        <f>IFERROR(__xludf.DUMMYFUNCTION("MIN(ARRAYFORMULA(TIMEVALUE(SPLIT(E550,"" ""))))"),"#VALUE!")</f>
        <v>#VALUE!</v>
      </c>
      <c r="G550" s="44" t="str">
        <f>IFERROR(__xludf.DUMMYFUNCTION("MAX(ARRAYFORMULA(TIMEVALUE(SPLIT(E550,"" ""))))"),"#VALUE!")</f>
        <v>#VALUE!</v>
      </c>
      <c r="H550" s="45"/>
      <c r="I550" s="45"/>
      <c r="J550" s="46" t="str">
        <f t="shared" si="36"/>
        <v>#VALUE!</v>
      </c>
      <c r="K550" s="27"/>
      <c r="L550" s="38"/>
      <c r="M550" s="38" t="str">
        <f t="shared" si="29"/>
        <v/>
      </c>
      <c r="N550" s="47"/>
      <c r="O550" s="48" t="str">
        <f t="shared" si="30"/>
        <v>Bảy</v>
      </c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42"/>
      <c r="B551" s="42"/>
      <c r="C551" s="42"/>
      <c r="D551" s="43"/>
      <c r="E551" s="42"/>
      <c r="F551" s="44" t="str">
        <f>IFERROR(__xludf.DUMMYFUNCTION("MIN(ARRAYFORMULA(TIMEVALUE(SPLIT(E551,"" ""))))"),"#VALUE!")</f>
        <v>#VALUE!</v>
      </c>
      <c r="G551" s="44" t="str">
        <f>IFERROR(__xludf.DUMMYFUNCTION("MAX(ARRAYFORMULA(TIMEVALUE(SPLIT(E551,"" ""))))"),"#VALUE!")</f>
        <v>#VALUE!</v>
      </c>
      <c r="H551" s="45"/>
      <c r="I551" s="45"/>
      <c r="J551" s="46" t="str">
        <f t="shared" si="36"/>
        <v>#VALUE!</v>
      </c>
      <c r="K551" s="27"/>
      <c r="L551" s="38"/>
      <c r="M551" s="38" t="str">
        <f t="shared" si="29"/>
        <v/>
      </c>
      <c r="N551" s="47"/>
      <c r="O551" s="48" t="str">
        <f t="shared" si="30"/>
        <v>Bảy</v>
      </c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42"/>
      <c r="B552" s="42"/>
      <c r="C552" s="42"/>
      <c r="D552" s="43"/>
      <c r="E552" s="42"/>
      <c r="F552" s="44" t="str">
        <f>IFERROR(__xludf.DUMMYFUNCTION("MIN(ARRAYFORMULA(TIMEVALUE(SPLIT(E552,"" ""))))"),"#VALUE!")</f>
        <v>#VALUE!</v>
      </c>
      <c r="G552" s="44" t="str">
        <f>IFERROR(__xludf.DUMMYFUNCTION("MAX(ARRAYFORMULA(TIMEVALUE(SPLIT(E552,"" ""))))"),"#VALUE!")</f>
        <v>#VALUE!</v>
      </c>
      <c r="H552" s="45"/>
      <c r="I552" s="45"/>
      <c r="J552" s="46" t="str">
        <f t="shared" si="36"/>
        <v>#VALUE!</v>
      </c>
      <c r="K552" s="27"/>
      <c r="L552" s="38"/>
      <c r="M552" s="38" t="str">
        <f t="shared" si="29"/>
        <v/>
      </c>
      <c r="N552" s="47"/>
      <c r="O552" s="48" t="str">
        <f t="shared" si="30"/>
        <v>Bảy</v>
      </c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42"/>
      <c r="B553" s="42"/>
      <c r="C553" s="42"/>
      <c r="D553" s="43"/>
      <c r="E553" s="42"/>
      <c r="F553" s="44" t="str">
        <f>IFERROR(__xludf.DUMMYFUNCTION("MIN(ARRAYFORMULA(TIMEVALUE(SPLIT(E553,"" ""))))"),"#VALUE!")</f>
        <v>#VALUE!</v>
      </c>
      <c r="G553" s="44" t="str">
        <f>IFERROR(__xludf.DUMMYFUNCTION("MAX(ARRAYFORMULA(TIMEVALUE(SPLIT(E553,"" ""))))"),"#VALUE!")</f>
        <v>#VALUE!</v>
      </c>
      <c r="H553" s="45"/>
      <c r="I553" s="45"/>
      <c r="J553" s="46" t="str">
        <f t="shared" si="36"/>
        <v>#VALUE!</v>
      </c>
      <c r="K553" s="27"/>
      <c r="L553" s="38"/>
      <c r="M553" s="38" t="str">
        <f t="shared" si="29"/>
        <v/>
      </c>
      <c r="N553" s="47"/>
      <c r="O553" s="48" t="str">
        <f t="shared" si="30"/>
        <v>Bảy</v>
      </c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42"/>
      <c r="B554" s="42"/>
      <c r="C554" s="42"/>
      <c r="D554" s="43"/>
      <c r="E554" s="42"/>
      <c r="F554" s="44" t="str">
        <f>IFERROR(__xludf.DUMMYFUNCTION("MIN(ARRAYFORMULA(TIMEVALUE(SPLIT(E554,"" ""))))"),"#VALUE!")</f>
        <v>#VALUE!</v>
      </c>
      <c r="G554" s="44" t="str">
        <f>IFERROR(__xludf.DUMMYFUNCTION("MAX(ARRAYFORMULA(TIMEVALUE(SPLIT(E554,"" ""))))"),"#VALUE!")</f>
        <v>#VALUE!</v>
      </c>
      <c r="H554" s="45"/>
      <c r="I554" s="45"/>
      <c r="J554" s="46" t="str">
        <f t="shared" si="36"/>
        <v>#VALUE!</v>
      </c>
      <c r="K554" s="27"/>
      <c r="L554" s="38"/>
      <c r="M554" s="38" t="str">
        <f t="shared" si="29"/>
        <v/>
      </c>
      <c r="N554" s="47"/>
      <c r="O554" s="48" t="str">
        <f t="shared" si="30"/>
        <v>Bảy</v>
      </c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42"/>
      <c r="B555" s="42"/>
      <c r="C555" s="42"/>
      <c r="D555" s="43"/>
      <c r="E555" s="42"/>
      <c r="F555" s="44" t="str">
        <f>IFERROR(__xludf.DUMMYFUNCTION("MIN(ARRAYFORMULA(TIMEVALUE(SPLIT(E555,"" ""))))"),"#VALUE!")</f>
        <v>#VALUE!</v>
      </c>
      <c r="G555" s="44" t="str">
        <f>IFERROR(__xludf.DUMMYFUNCTION("MAX(ARRAYFORMULA(TIMEVALUE(SPLIT(E555,"" ""))))"),"#VALUE!")</f>
        <v>#VALUE!</v>
      </c>
      <c r="H555" s="45"/>
      <c r="I555" s="45"/>
      <c r="J555" s="46" t="str">
        <f t="shared" si="36"/>
        <v>#VALUE!</v>
      </c>
      <c r="K555" s="27"/>
      <c r="L555" s="38"/>
      <c r="M555" s="38" t="str">
        <f t="shared" si="29"/>
        <v/>
      </c>
      <c r="N555" s="47"/>
      <c r="O555" s="48" t="str">
        <f t="shared" si="30"/>
        <v>Bảy</v>
      </c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42"/>
      <c r="B556" s="42"/>
      <c r="C556" s="42"/>
      <c r="D556" s="43"/>
      <c r="E556" s="42"/>
      <c r="F556" s="44" t="str">
        <f>IFERROR(__xludf.DUMMYFUNCTION("MIN(ARRAYFORMULA(TIMEVALUE(SPLIT(E556,"" ""))))"),"#VALUE!")</f>
        <v>#VALUE!</v>
      </c>
      <c r="G556" s="44" t="str">
        <f>IFERROR(__xludf.DUMMYFUNCTION("MAX(ARRAYFORMULA(TIMEVALUE(SPLIT(E556,"" ""))))"),"#VALUE!")</f>
        <v>#VALUE!</v>
      </c>
      <c r="H556" s="45"/>
      <c r="I556" s="45"/>
      <c r="J556" s="46" t="str">
        <f t="shared" si="36"/>
        <v>#VALUE!</v>
      </c>
      <c r="K556" s="27"/>
      <c r="L556" s="38"/>
      <c r="M556" s="38" t="str">
        <f t="shared" si="29"/>
        <v/>
      </c>
      <c r="N556" s="47"/>
      <c r="O556" s="48" t="str">
        <f t="shared" si="30"/>
        <v>Bảy</v>
      </c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42"/>
      <c r="B557" s="42"/>
      <c r="C557" s="42"/>
      <c r="D557" s="43"/>
      <c r="E557" s="42"/>
      <c r="F557" s="44" t="str">
        <f>IFERROR(__xludf.DUMMYFUNCTION("MIN(ARRAYFORMULA(TIMEVALUE(SPLIT(E557,"" ""))))"),"#VALUE!")</f>
        <v>#VALUE!</v>
      </c>
      <c r="G557" s="44" t="str">
        <f>IFERROR(__xludf.DUMMYFUNCTION("MAX(ARRAYFORMULA(TIMEVALUE(SPLIT(E557,"" ""))))"),"#VALUE!")</f>
        <v>#VALUE!</v>
      </c>
      <c r="H557" s="45"/>
      <c r="I557" s="45"/>
      <c r="J557" s="46" t="str">
        <f t="shared" si="36"/>
        <v>#VALUE!</v>
      </c>
      <c r="K557" s="27"/>
      <c r="L557" s="38"/>
      <c r="M557" s="38" t="str">
        <f t="shared" si="29"/>
        <v/>
      </c>
      <c r="N557" s="47"/>
      <c r="O557" s="48" t="str">
        <f t="shared" si="30"/>
        <v>Bảy</v>
      </c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42"/>
      <c r="B558" s="42"/>
      <c r="C558" s="42"/>
      <c r="D558" s="43"/>
      <c r="E558" s="42"/>
      <c r="F558" s="44" t="str">
        <f>IFERROR(__xludf.DUMMYFUNCTION("MIN(ARRAYFORMULA(TIMEVALUE(SPLIT(E558,"" ""))))"),"#VALUE!")</f>
        <v>#VALUE!</v>
      </c>
      <c r="G558" s="44" t="str">
        <f>IFERROR(__xludf.DUMMYFUNCTION("MAX(ARRAYFORMULA(TIMEVALUE(SPLIT(E558,"" ""))))"),"#VALUE!")</f>
        <v>#VALUE!</v>
      </c>
      <c r="H558" s="45"/>
      <c r="I558" s="45"/>
      <c r="J558" s="46" t="str">
        <f t="shared" si="36"/>
        <v>#VALUE!</v>
      </c>
      <c r="K558" s="27"/>
      <c r="L558" s="38"/>
      <c r="M558" s="38" t="str">
        <f t="shared" si="29"/>
        <v/>
      </c>
      <c r="N558" s="47"/>
      <c r="O558" s="48" t="str">
        <f t="shared" si="30"/>
        <v>Bảy</v>
      </c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42"/>
      <c r="B559" s="42"/>
      <c r="C559" s="42"/>
      <c r="D559" s="43"/>
      <c r="E559" s="42"/>
      <c r="F559" s="44" t="str">
        <f>IFERROR(__xludf.DUMMYFUNCTION("MIN(ARRAYFORMULA(TIMEVALUE(SPLIT(E559,"" ""))))"),"#VALUE!")</f>
        <v>#VALUE!</v>
      </c>
      <c r="G559" s="44" t="str">
        <f>IFERROR(__xludf.DUMMYFUNCTION("MAX(ARRAYFORMULA(TIMEVALUE(SPLIT(E559,"" ""))))"),"#VALUE!")</f>
        <v>#VALUE!</v>
      </c>
      <c r="H559" s="45"/>
      <c r="I559" s="45"/>
      <c r="J559" s="46" t="str">
        <f t="shared" si="36"/>
        <v>#VALUE!</v>
      </c>
      <c r="K559" s="27"/>
      <c r="L559" s="38"/>
      <c r="M559" s="38" t="str">
        <f t="shared" si="29"/>
        <v/>
      </c>
      <c r="N559" s="47"/>
      <c r="O559" s="48" t="str">
        <f t="shared" si="30"/>
        <v>Bảy</v>
      </c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42"/>
      <c r="B560" s="42"/>
      <c r="C560" s="42"/>
      <c r="D560" s="43"/>
      <c r="E560" s="42"/>
      <c r="F560" s="44" t="str">
        <f>IFERROR(__xludf.DUMMYFUNCTION("MIN(ARRAYFORMULA(TIMEVALUE(SPLIT(E560,"" ""))))"),"#VALUE!")</f>
        <v>#VALUE!</v>
      </c>
      <c r="G560" s="44" t="str">
        <f>IFERROR(__xludf.DUMMYFUNCTION("MAX(ARRAYFORMULA(TIMEVALUE(SPLIT(E560,"" ""))))"),"#VALUE!")</f>
        <v>#VALUE!</v>
      </c>
      <c r="H560" s="45"/>
      <c r="I560" s="45"/>
      <c r="J560" s="46" t="str">
        <f t="shared" si="36"/>
        <v>#VALUE!</v>
      </c>
      <c r="K560" s="27"/>
      <c r="L560" s="38"/>
      <c r="M560" s="38" t="str">
        <f t="shared" si="29"/>
        <v/>
      </c>
      <c r="N560" s="47"/>
      <c r="O560" s="48" t="str">
        <f t="shared" si="30"/>
        <v>Bảy</v>
      </c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42"/>
      <c r="B561" s="42"/>
      <c r="C561" s="42"/>
      <c r="D561" s="43"/>
      <c r="E561" s="42"/>
      <c r="F561" s="44" t="str">
        <f>IFERROR(__xludf.DUMMYFUNCTION("MIN(ARRAYFORMULA(TIMEVALUE(SPLIT(E561,"" ""))))"),"#VALUE!")</f>
        <v>#VALUE!</v>
      </c>
      <c r="G561" s="44" t="str">
        <f>IFERROR(__xludf.DUMMYFUNCTION("MAX(ARRAYFORMULA(TIMEVALUE(SPLIT(E561,"" ""))))"),"#VALUE!")</f>
        <v>#VALUE!</v>
      </c>
      <c r="H561" s="45"/>
      <c r="I561" s="45"/>
      <c r="J561" s="46" t="str">
        <f t="shared" si="36"/>
        <v>#VALUE!</v>
      </c>
      <c r="K561" s="27"/>
      <c r="L561" s="38"/>
      <c r="M561" s="38" t="str">
        <f t="shared" si="29"/>
        <v/>
      </c>
      <c r="N561" s="47"/>
      <c r="O561" s="48" t="str">
        <f t="shared" si="30"/>
        <v>Bảy</v>
      </c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42"/>
      <c r="B562" s="42"/>
      <c r="C562" s="42"/>
      <c r="D562" s="43"/>
      <c r="E562" s="42"/>
      <c r="F562" s="44" t="str">
        <f>IFERROR(__xludf.DUMMYFUNCTION("MIN(ARRAYFORMULA(TIMEVALUE(SPLIT(E562,"" ""))))"),"#VALUE!")</f>
        <v>#VALUE!</v>
      </c>
      <c r="G562" s="44" t="str">
        <f>IFERROR(__xludf.DUMMYFUNCTION("MAX(ARRAYFORMULA(TIMEVALUE(SPLIT(E562,"" ""))))"),"#VALUE!")</f>
        <v>#VALUE!</v>
      </c>
      <c r="H562" s="45"/>
      <c r="I562" s="45"/>
      <c r="J562" s="46" t="str">
        <f t="shared" si="36"/>
        <v>#VALUE!</v>
      </c>
      <c r="K562" s="27"/>
      <c r="L562" s="38"/>
      <c r="M562" s="38" t="str">
        <f t="shared" si="29"/>
        <v/>
      </c>
      <c r="N562" s="47"/>
      <c r="O562" s="48" t="str">
        <f t="shared" si="30"/>
        <v>Bảy</v>
      </c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42"/>
      <c r="B563" s="42"/>
      <c r="C563" s="42"/>
      <c r="D563" s="43"/>
      <c r="E563" s="42"/>
      <c r="F563" s="44" t="str">
        <f>IFERROR(__xludf.DUMMYFUNCTION("MIN(ARRAYFORMULA(TIMEVALUE(SPLIT(E563,"" ""))))"),"#VALUE!")</f>
        <v>#VALUE!</v>
      </c>
      <c r="G563" s="44" t="str">
        <f>IFERROR(__xludf.DUMMYFUNCTION("MAX(ARRAYFORMULA(TIMEVALUE(SPLIT(E563,"" ""))))"),"#VALUE!")</f>
        <v>#VALUE!</v>
      </c>
      <c r="H563" s="45"/>
      <c r="I563" s="45"/>
      <c r="J563" s="46" t="str">
        <f t="shared" si="36"/>
        <v>#VALUE!</v>
      </c>
      <c r="K563" s="27"/>
      <c r="L563" s="38"/>
      <c r="M563" s="38" t="str">
        <f t="shared" si="29"/>
        <v/>
      </c>
      <c r="N563" s="47"/>
      <c r="O563" s="48" t="str">
        <f t="shared" si="30"/>
        <v>Bảy</v>
      </c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42"/>
      <c r="B564" s="42"/>
      <c r="C564" s="42"/>
      <c r="D564" s="43"/>
      <c r="E564" s="42"/>
      <c r="F564" s="44" t="str">
        <f>IFERROR(__xludf.DUMMYFUNCTION("MIN(ARRAYFORMULA(TIMEVALUE(SPLIT(E564,"" ""))))"),"#VALUE!")</f>
        <v>#VALUE!</v>
      </c>
      <c r="G564" s="44" t="str">
        <f>IFERROR(__xludf.DUMMYFUNCTION("MAX(ARRAYFORMULA(TIMEVALUE(SPLIT(E564,"" ""))))"),"#VALUE!")</f>
        <v>#VALUE!</v>
      </c>
      <c r="H564" s="45"/>
      <c r="I564" s="45"/>
      <c r="J564" s="46" t="str">
        <f t="shared" si="36"/>
        <v>#VALUE!</v>
      </c>
      <c r="K564" s="27"/>
      <c r="L564" s="38"/>
      <c r="M564" s="38" t="str">
        <f t="shared" si="29"/>
        <v/>
      </c>
      <c r="N564" s="47"/>
      <c r="O564" s="48" t="str">
        <f t="shared" si="30"/>
        <v>Bảy</v>
      </c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42"/>
      <c r="B565" s="42"/>
      <c r="C565" s="42"/>
      <c r="D565" s="43"/>
      <c r="E565" s="42"/>
      <c r="F565" s="44" t="str">
        <f>IFERROR(__xludf.DUMMYFUNCTION("MIN(ARRAYFORMULA(TIMEVALUE(SPLIT(E565,"" ""))))"),"#VALUE!")</f>
        <v>#VALUE!</v>
      </c>
      <c r="G565" s="44" t="str">
        <f>IFERROR(__xludf.DUMMYFUNCTION("MAX(ARRAYFORMULA(TIMEVALUE(SPLIT(E565,"" ""))))"),"#VALUE!")</f>
        <v>#VALUE!</v>
      </c>
      <c r="H565" s="45"/>
      <c r="I565" s="45"/>
      <c r="J565" s="46" t="str">
        <f t="shared" si="36"/>
        <v>#VALUE!</v>
      </c>
      <c r="K565" s="27"/>
      <c r="L565" s="38"/>
      <c r="M565" s="38" t="str">
        <f t="shared" si="29"/>
        <v/>
      </c>
      <c r="N565" s="47"/>
      <c r="O565" s="48" t="str">
        <f t="shared" si="30"/>
        <v>Bảy</v>
      </c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42"/>
      <c r="B566" s="42"/>
      <c r="C566" s="42"/>
      <c r="D566" s="43"/>
      <c r="E566" s="42"/>
      <c r="F566" s="44" t="str">
        <f>IFERROR(__xludf.DUMMYFUNCTION("MIN(ARRAYFORMULA(TIMEVALUE(SPLIT(E566,"" ""))))"),"#VALUE!")</f>
        <v>#VALUE!</v>
      </c>
      <c r="G566" s="44" t="str">
        <f>IFERROR(__xludf.DUMMYFUNCTION("MAX(ARRAYFORMULA(TIMEVALUE(SPLIT(E566,"" ""))))"),"#VALUE!")</f>
        <v>#VALUE!</v>
      </c>
      <c r="H566" s="45"/>
      <c r="I566" s="45"/>
      <c r="J566" s="46" t="str">
        <f t="shared" si="36"/>
        <v>#VALUE!</v>
      </c>
      <c r="K566" s="27"/>
      <c r="L566" s="38"/>
      <c r="M566" s="38" t="str">
        <f t="shared" si="29"/>
        <v/>
      </c>
      <c r="N566" s="47"/>
      <c r="O566" s="48" t="str">
        <f t="shared" si="30"/>
        <v>Bảy</v>
      </c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42"/>
      <c r="B567" s="42"/>
      <c r="C567" s="42"/>
      <c r="D567" s="43"/>
      <c r="E567" s="42"/>
      <c r="F567" s="44" t="str">
        <f>IFERROR(__xludf.DUMMYFUNCTION("MIN(ARRAYFORMULA(TIMEVALUE(SPLIT(E567,"" ""))))"),"#VALUE!")</f>
        <v>#VALUE!</v>
      </c>
      <c r="G567" s="44" t="str">
        <f>IFERROR(__xludf.DUMMYFUNCTION("MAX(ARRAYFORMULA(TIMEVALUE(SPLIT(E567,"" ""))))"),"#VALUE!")</f>
        <v>#VALUE!</v>
      </c>
      <c r="H567" s="45"/>
      <c r="I567" s="45"/>
      <c r="J567" s="46" t="str">
        <f t="shared" si="36"/>
        <v>#VALUE!</v>
      </c>
      <c r="K567" s="27"/>
      <c r="L567" s="38"/>
      <c r="M567" s="38" t="str">
        <f t="shared" si="29"/>
        <v/>
      </c>
      <c r="N567" s="47"/>
      <c r="O567" s="48" t="str">
        <f t="shared" si="30"/>
        <v>Bảy</v>
      </c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42"/>
      <c r="B568" s="42"/>
      <c r="C568" s="42"/>
      <c r="D568" s="43"/>
      <c r="E568" s="42"/>
      <c r="F568" s="44" t="str">
        <f>IFERROR(__xludf.DUMMYFUNCTION("MIN(ARRAYFORMULA(TIMEVALUE(SPLIT(E568,"" ""))))"),"#VALUE!")</f>
        <v>#VALUE!</v>
      </c>
      <c r="G568" s="44" t="str">
        <f>IFERROR(__xludf.DUMMYFUNCTION("MAX(ARRAYFORMULA(TIMEVALUE(SPLIT(E568,"" ""))))"),"#VALUE!")</f>
        <v>#VALUE!</v>
      </c>
      <c r="H568" s="45"/>
      <c r="I568" s="45"/>
      <c r="J568" s="46" t="str">
        <f t="shared" si="36"/>
        <v>#VALUE!</v>
      </c>
      <c r="K568" s="27"/>
      <c r="L568" s="38"/>
      <c r="M568" s="38" t="str">
        <f t="shared" si="29"/>
        <v/>
      </c>
      <c r="N568" s="47"/>
      <c r="O568" s="48" t="str">
        <f t="shared" si="30"/>
        <v>Bảy</v>
      </c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42"/>
      <c r="B569" s="42"/>
      <c r="C569" s="42"/>
      <c r="D569" s="43"/>
      <c r="E569" s="42"/>
      <c r="F569" s="44" t="str">
        <f>IFERROR(__xludf.DUMMYFUNCTION("MIN(ARRAYFORMULA(TIMEVALUE(SPLIT(E569,"" ""))))"),"#VALUE!")</f>
        <v>#VALUE!</v>
      </c>
      <c r="G569" s="44" t="str">
        <f>IFERROR(__xludf.DUMMYFUNCTION("MAX(ARRAYFORMULA(TIMEVALUE(SPLIT(E569,"" ""))))"),"#VALUE!")</f>
        <v>#VALUE!</v>
      </c>
      <c r="H569" s="45"/>
      <c r="I569" s="45"/>
      <c r="J569" s="46" t="str">
        <f t="shared" si="36"/>
        <v>#VALUE!</v>
      </c>
      <c r="K569" s="27"/>
      <c r="L569" s="38"/>
      <c r="M569" s="38" t="str">
        <f t="shared" si="29"/>
        <v/>
      </c>
      <c r="N569" s="47"/>
      <c r="O569" s="48" t="str">
        <f t="shared" si="30"/>
        <v>Bảy</v>
      </c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42"/>
      <c r="B570" s="42"/>
      <c r="C570" s="42"/>
      <c r="D570" s="43"/>
      <c r="E570" s="42"/>
      <c r="F570" s="44" t="str">
        <f>IFERROR(__xludf.DUMMYFUNCTION("MIN(ARRAYFORMULA(TIMEVALUE(SPLIT(E570,"" ""))))"),"#VALUE!")</f>
        <v>#VALUE!</v>
      </c>
      <c r="G570" s="44" t="str">
        <f>IFERROR(__xludf.DUMMYFUNCTION("MAX(ARRAYFORMULA(TIMEVALUE(SPLIT(E570,"" ""))))"),"#VALUE!")</f>
        <v>#VALUE!</v>
      </c>
      <c r="H570" s="45"/>
      <c r="I570" s="45"/>
      <c r="J570" s="46" t="str">
        <f t="shared" si="36"/>
        <v>#VALUE!</v>
      </c>
      <c r="K570" s="27"/>
      <c r="L570" s="38"/>
      <c r="M570" s="38" t="str">
        <f t="shared" si="29"/>
        <v/>
      </c>
      <c r="N570" s="47"/>
      <c r="O570" s="48" t="str">
        <f t="shared" si="30"/>
        <v>Bảy</v>
      </c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42"/>
      <c r="B571" s="42"/>
      <c r="C571" s="42"/>
      <c r="D571" s="43"/>
      <c r="E571" s="42"/>
      <c r="F571" s="44" t="str">
        <f>IFERROR(__xludf.DUMMYFUNCTION("MIN(ARRAYFORMULA(TIMEVALUE(SPLIT(E571,"" ""))))"),"#VALUE!")</f>
        <v>#VALUE!</v>
      </c>
      <c r="G571" s="44" t="str">
        <f>IFERROR(__xludf.DUMMYFUNCTION("MAX(ARRAYFORMULA(TIMEVALUE(SPLIT(E571,"" ""))))"),"#VALUE!")</f>
        <v>#VALUE!</v>
      </c>
      <c r="H571" s="45"/>
      <c r="I571" s="45"/>
      <c r="J571" s="46" t="str">
        <f t="shared" si="36"/>
        <v>#VALUE!</v>
      </c>
      <c r="K571" s="27"/>
      <c r="L571" s="38"/>
      <c r="M571" s="38" t="str">
        <f t="shared" si="29"/>
        <v/>
      </c>
      <c r="N571" s="47"/>
      <c r="O571" s="48" t="str">
        <f t="shared" si="30"/>
        <v>Bảy</v>
      </c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42"/>
      <c r="B572" s="42"/>
      <c r="C572" s="42"/>
      <c r="D572" s="43"/>
      <c r="E572" s="42"/>
      <c r="F572" s="44" t="str">
        <f>IFERROR(__xludf.DUMMYFUNCTION("MIN(ARRAYFORMULA(TIMEVALUE(SPLIT(E572,"" ""))))"),"#VALUE!")</f>
        <v>#VALUE!</v>
      </c>
      <c r="G572" s="44" t="str">
        <f>IFERROR(__xludf.DUMMYFUNCTION("MAX(ARRAYFORMULA(TIMEVALUE(SPLIT(E572,"" ""))))"),"#VALUE!")</f>
        <v>#VALUE!</v>
      </c>
      <c r="H572" s="45"/>
      <c r="I572" s="45"/>
      <c r="J572" s="46" t="str">
        <f t="shared" si="36"/>
        <v>#VALUE!</v>
      </c>
      <c r="K572" s="27"/>
      <c r="L572" s="38"/>
      <c r="M572" s="38" t="str">
        <f t="shared" si="29"/>
        <v/>
      </c>
      <c r="N572" s="47"/>
      <c r="O572" s="48" t="str">
        <f t="shared" si="30"/>
        <v>Bảy</v>
      </c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42"/>
      <c r="B573" s="42"/>
      <c r="C573" s="42"/>
      <c r="D573" s="43"/>
      <c r="E573" s="42"/>
      <c r="F573" s="44" t="str">
        <f>IFERROR(__xludf.DUMMYFUNCTION("MIN(ARRAYFORMULA(TIMEVALUE(SPLIT(E573,"" ""))))"),"#VALUE!")</f>
        <v>#VALUE!</v>
      </c>
      <c r="G573" s="44" t="str">
        <f>IFERROR(__xludf.DUMMYFUNCTION("MAX(ARRAYFORMULA(TIMEVALUE(SPLIT(E573,"" ""))))"),"#VALUE!")</f>
        <v>#VALUE!</v>
      </c>
      <c r="H573" s="45"/>
      <c r="I573" s="45"/>
      <c r="J573" s="46" t="str">
        <f t="shared" si="36"/>
        <v>#VALUE!</v>
      </c>
      <c r="K573" s="27"/>
      <c r="L573" s="38"/>
      <c r="M573" s="38" t="str">
        <f t="shared" si="29"/>
        <v/>
      </c>
      <c r="N573" s="47"/>
      <c r="O573" s="48" t="str">
        <f t="shared" si="30"/>
        <v>Bảy</v>
      </c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42"/>
      <c r="B574" s="42"/>
      <c r="C574" s="42"/>
      <c r="D574" s="43"/>
      <c r="E574" s="42"/>
      <c r="F574" s="44" t="str">
        <f>IFERROR(__xludf.DUMMYFUNCTION("MIN(ARRAYFORMULA(TIMEVALUE(SPLIT(E574,"" ""))))"),"#VALUE!")</f>
        <v>#VALUE!</v>
      </c>
      <c r="G574" s="44" t="str">
        <f>IFERROR(__xludf.DUMMYFUNCTION("MAX(ARRAYFORMULA(TIMEVALUE(SPLIT(E574,"" ""))))"),"#VALUE!")</f>
        <v>#VALUE!</v>
      </c>
      <c r="H574" s="45"/>
      <c r="I574" s="45"/>
      <c r="J574" s="46" t="str">
        <f t="shared" si="36"/>
        <v>#VALUE!</v>
      </c>
      <c r="K574" s="27"/>
      <c r="L574" s="38"/>
      <c r="M574" s="38" t="str">
        <f t="shared" si="29"/>
        <v/>
      </c>
      <c r="N574" s="47"/>
      <c r="O574" s="48" t="str">
        <f t="shared" si="30"/>
        <v>Bảy</v>
      </c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42"/>
      <c r="B575" s="42"/>
      <c r="C575" s="42"/>
      <c r="D575" s="43"/>
      <c r="E575" s="42"/>
      <c r="F575" s="44" t="str">
        <f>IFERROR(__xludf.DUMMYFUNCTION("MIN(ARRAYFORMULA(TIMEVALUE(SPLIT(E575,"" ""))))"),"#VALUE!")</f>
        <v>#VALUE!</v>
      </c>
      <c r="G575" s="44" t="str">
        <f>IFERROR(__xludf.DUMMYFUNCTION("MAX(ARRAYFORMULA(TIMEVALUE(SPLIT(E575,"" ""))))"),"#VALUE!")</f>
        <v>#VALUE!</v>
      </c>
      <c r="H575" s="45"/>
      <c r="I575" s="45"/>
      <c r="J575" s="46" t="str">
        <f t="shared" si="36"/>
        <v>#VALUE!</v>
      </c>
      <c r="K575" s="27"/>
      <c r="L575" s="38"/>
      <c r="M575" s="38" t="str">
        <f t="shared" si="29"/>
        <v/>
      </c>
      <c r="N575" s="47"/>
      <c r="O575" s="48" t="str">
        <f t="shared" si="30"/>
        <v>Bảy</v>
      </c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42"/>
      <c r="B576" s="42"/>
      <c r="C576" s="42"/>
      <c r="D576" s="43"/>
      <c r="E576" s="42"/>
      <c r="F576" s="44" t="str">
        <f>IFERROR(__xludf.DUMMYFUNCTION("MIN(ARRAYFORMULA(TIMEVALUE(SPLIT(E576,"" ""))))"),"#VALUE!")</f>
        <v>#VALUE!</v>
      </c>
      <c r="G576" s="44" t="str">
        <f>IFERROR(__xludf.DUMMYFUNCTION("MAX(ARRAYFORMULA(TIMEVALUE(SPLIT(E576,"" ""))))"),"#VALUE!")</f>
        <v>#VALUE!</v>
      </c>
      <c r="H576" s="45"/>
      <c r="I576" s="45"/>
      <c r="J576" s="46" t="str">
        <f t="shared" si="36"/>
        <v>#VALUE!</v>
      </c>
      <c r="K576" s="27"/>
      <c r="L576" s="38"/>
      <c r="M576" s="38" t="str">
        <f t="shared" si="29"/>
        <v/>
      </c>
      <c r="N576" s="47"/>
      <c r="O576" s="48" t="str">
        <f t="shared" si="30"/>
        <v>Bảy</v>
      </c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42"/>
      <c r="B577" s="42"/>
      <c r="C577" s="42"/>
      <c r="D577" s="43"/>
      <c r="E577" s="42"/>
      <c r="F577" s="44" t="str">
        <f>IFERROR(__xludf.DUMMYFUNCTION("MIN(ARRAYFORMULA(TIMEVALUE(SPLIT(E577,"" ""))))"),"#VALUE!")</f>
        <v>#VALUE!</v>
      </c>
      <c r="G577" s="44" t="str">
        <f>IFERROR(__xludf.DUMMYFUNCTION("MAX(ARRAYFORMULA(TIMEVALUE(SPLIT(E577,"" ""))))"),"#VALUE!")</f>
        <v>#VALUE!</v>
      </c>
      <c r="H577" s="45"/>
      <c r="I577" s="45"/>
      <c r="J577" s="46" t="str">
        <f t="shared" si="36"/>
        <v>#VALUE!</v>
      </c>
      <c r="K577" s="27"/>
      <c r="L577" s="38"/>
      <c r="M577" s="38" t="str">
        <f t="shared" si="29"/>
        <v/>
      </c>
      <c r="N577" s="47"/>
      <c r="O577" s="48" t="str">
        <f t="shared" si="30"/>
        <v>Bảy</v>
      </c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42"/>
      <c r="B578" s="42"/>
      <c r="C578" s="42"/>
      <c r="D578" s="43"/>
      <c r="E578" s="42"/>
      <c r="F578" s="44" t="str">
        <f>IFERROR(__xludf.DUMMYFUNCTION("MIN(ARRAYFORMULA(TIMEVALUE(SPLIT(E578,"" ""))))"),"#VALUE!")</f>
        <v>#VALUE!</v>
      </c>
      <c r="G578" s="44" t="str">
        <f>IFERROR(__xludf.DUMMYFUNCTION("MAX(ARRAYFORMULA(TIMEVALUE(SPLIT(E578,"" ""))))"),"#VALUE!")</f>
        <v>#VALUE!</v>
      </c>
      <c r="H578" s="45"/>
      <c r="I578" s="45"/>
      <c r="J578" s="46" t="str">
        <f t="shared" si="36"/>
        <v>#VALUE!</v>
      </c>
      <c r="K578" s="27"/>
      <c r="L578" s="38"/>
      <c r="M578" s="38" t="str">
        <f t="shared" si="29"/>
        <v/>
      </c>
      <c r="N578" s="47"/>
      <c r="O578" s="48" t="str">
        <f t="shared" si="30"/>
        <v>Bảy</v>
      </c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42"/>
      <c r="B579" s="42"/>
      <c r="C579" s="42"/>
      <c r="D579" s="43"/>
      <c r="E579" s="42"/>
      <c r="F579" s="44" t="str">
        <f>IFERROR(__xludf.DUMMYFUNCTION("MIN(ARRAYFORMULA(TIMEVALUE(SPLIT(E579,"" ""))))"),"#VALUE!")</f>
        <v>#VALUE!</v>
      </c>
      <c r="G579" s="44" t="str">
        <f>IFERROR(__xludf.DUMMYFUNCTION("MAX(ARRAYFORMULA(TIMEVALUE(SPLIT(E579,"" ""))))"),"#VALUE!")</f>
        <v>#VALUE!</v>
      </c>
      <c r="H579" s="45"/>
      <c r="I579" s="45"/>
      <c r="J579" s="46" t="str">
        <f t="shared" si="36"/>
        <v>#VALUE!</v>
      </c>
      <c r="K579" s="27"/>
      <c r="L579" s="38"/>
      <c r="M579" s="38" t="str">
        <f t="shared" si="29"/>
        <v/>
      </c>
      <c r="N579" s="47"/>
      <c r="O579" s="48" t="str">
        <f t="shared" si="30"/>
        <v>Bảy</v>
      </c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42"/>
      <c r="B580" s="42"/>
      <c r="C580" s="42"/>
      <c r="D580" s="43"/>
      <c r="E580" s="42"/>
      <c r="F580" s="44" t="str">
        <f>IFERROR(__xludf.DUMMYFUNCTION("MIN(ARRAYFORMULA(TIMEVALUE(SPLIT(E580,"" ""))))"),"#VALUE!")</f>
        <v>#VALUE!</v>
      </c>
      <c r="G580" s="44" t="str">
        <f>IFERROR(__xludf.DUMMYFUNCTION("MAX(ARRAYFORMULA(TIMEVALUE(SPLIT(E580,"" ""))))"),"#VALUE!")</f>
        <v>#VALUE!</v>
      </c>
      <c r="H580" s="45"/>
      <c r="I580" s="45"/>
      <c r="J580" s="46" t="str">
        <f t="shared" si="36"/>
        <v>#VALUE!</v>
      </c>
      <c r="K580" s="27"/>
      <c r="L580" s="38"/>
      <c r="M580" s="38" t="str">
        <f t="shared" si="29"/>
        <v/>
      </c>
      <c r="N580" s="47"/>
      <c r="O580" s="48" t="str">
        <f t="shared" si="30"/>
        <v>Bảy</v>
      </c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42"/>
      <c r="B581" s="42"/>
      <c r="C581" s="42"/>
      <c r="D581" s="43"/>
      <c r="E581" s="42"/>
      <c r="F581" s="44" t="str">
        <f>IFERROR(__xludf.DUMMYFUNCTION("MIN(ARRAYFORMULA(TIMEVALUE(SPLIT(E581,"" ""))))"),"#VALUE!")</f>
        <v>#VALUE!</v>
      </c>
      <c r="G581" s="44" t="str">
        <f>IFERROR(__xludf.DUMMYFUNCTION("MAX(ARRAYFORMULA(TIMEVALUE(SPLIT(E581,"" ""))))"),"#VALUE!")</f>
        <v>#VALUE!</v>
      </c>
      <c r="H581" s="45"/>
      <c r="I581" s="45"/>
      <c r="J581" s="46" t="str">
        <f t="shared" si="36"/>
        <v>#VALUE!</v>
      </c>
      <c r="K581" s="27"/>
      <c r="L581" s="38"/>
      <c r="M581" s="38" t="str">
        <f t="shared" si="29"/>
        <v/>
      </c>
      <c r="N581" s="47"/>
      <c r="O581" s="48" t="str">
        <f t="shared" si="30"/>
        <v>Bảy</v>
      </c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42"/>
      <c r="B582" s="42"/>
      <c r="C582" s="42"/>
      <c r="D582" s="43"/>
      <c r="E582" s="42"/>
      <c r="F582" s="44" t="str">
        <f>IFERROR(__xludf.DUMMYFUNCTION("MIN(ARRAYFORMULA(TIMEVALUE(SPLIT(E582,"" ""))))"),"#VALUE!")</f>
        <v>#VALUE!</v>
      </c>
      <c r="G582" s="44" t="str">
        <f>IFERROR(__xludf.DUMMYFUNCTION("MAX(ARRAYFORMULA(TIMEVALUE(SPLIT(E582,"" ""))))"),"#VALUE!")</f>
        <v>#VALUE!</v>
      </c>
      <c r="H582" s="45"/>
      <c r="I582" s="45"/>
      <c r="J582" s="46" t="str">
        <f t="shared" si="36"/>
        <v>#VALUE!</v>
      </c>
      <c r="K582" s="27"/>
      <c r="L582" s="38"/>
      <c r="M582" s="38" t="str">
        <f t="shared" si="29"/>
        <v/>
      </c>
      <c r="N582" s="47"/>
      <c r="O582" s="48" t="str">
        <f t="shared" si="30"/>
        <v>Bảy</v>
      </c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42"/>
      <c r="B583" s="42"/>
      <c r="C583" s="42"/>
      <c r="D583" s="43"/>
      <c r="E583" s="42"/>
      <c r="F583" s="44" t="str">
        <f>IFERROR(__xludf.DUMMYFUNCTION("MIN(ARRAYFORMULA(TIMEVALUE(SPLIT(E583,"" ""))))"),"#VALUE!")</f>
        <v>#VALUE!</v>
      </c>
      <c r="G583" s="44" t="str">
        <f>IFERROR(__xludf.DUMMYFUNCTION("MAX(ARRAYFORMULA(TIMEVALUE(SPLIT(E583,"" ""))))"),"#VALUE!")</f>
        <v>#VALUE!</v>
      </c>
      <c r="H583" s="45"/>
      <c r="I583" s="45"/>
      <c r="J583" s="46" t="str">
        <f t="shared" si="36"/>
        <v>#VALUE!</v>
      </c>
      <c r="K583" s="27"/>
      <c r="L583" s="38"/>
      <c r="M583" s="38" t="str">
        <f t="shared" si="29"/>
        <v/>
      </c>
      <c r="N583" s="47"/>
      <c r="O583" s="48" t="str">
        <f t="shared" si="30"/>
        <v>Bảy</v>
      </c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42"/>
      <c r="B584" s="42"/>
      <c r="C584" s="42"/>
      <c r="D584" s="43"/>
      <c r="E584" s="42"/>
      <c r="F584" s="44" t="str">
        <f>IFERROR(__xludf.DUMMYFUNCTION("MIN(ARRAYFORMULA(TIMEVALUE(SPLIT(E584,"" ""))))"),"#VALUE!")</f>
        <v>#VALUE!</v>
      </c>
      <c r="G584" s="44" t="str">
        <f>IFERROR(__xludf.DUMMYFUNCTION("MAX(ARRAYFORMULA(TIMEVALUE(SPLIT(E584,"" ""))))"),"#VALUE!")</f>
        <v>#VALUE!</v>
      </c>
      <c r="H584" s="45"/>
      <c r="I584" s="45"/>
      <c r="J584" s="46" t="str">
        <f t="shared" si="36"/>
        <v>#VALUE!</v>
      </c>
      <c r="K584" s="27"/>
      <c r="L584" s="38"/>
      <c r="M584" s="38" t="str">
        <f t="shared" si="29"/>
        <v/>
      </c>
      <c r="N584" s="47"/>
      <c r="O584" s="48" t="str">
        <f t="shared" si="30"/>
        <v>Bảy</v>
      </c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42"/>
      <c r="B585" s="42"/>
      <c r="C585" s="42"/>
      <c r="D585" s="43"/>
      <c r="E585" s="42"/>
      <c r="F585" s="44" t="str">
        <f>IFERROR(__xludf.DUMMYFUNCTION("MIN(ARRAYFORMULA(TIMEVALUE(SPLIT(E585,"" ""))))"),"#VALUE!")</f>
        <v>#VALUE!</v>
      </c>
      <c r="G585" s="44" t="str">
        <f>IFERROR(__xludf.DUMMYFUNCTION("MAX(ARRAYFORMULA(TIMEVALUE(SPLIT(E585,"" ""))))"),"#VALUE!")</f>
        <v>#VALUE!</v>
      </c>
      <c r="H585" s="45"/>
      <c r="I585" s="45"/>
      <c r="J585" s="46" t="str">
        <f t="shared" si="36"/>
        <v>#VALUE!</v>
      </c>
      <c r="K585" s="27"/>
      <c r="L585" s="38"/>
      <c r="M585" s="38" t="str">
        <f t="shared" si="29"/>
        <v/>
      </c>
      <c r="N585" s="47"/>
      <c r="O585" s="48" t="str">
        <f t="shared" si="30"/>
        <v>Bảy</v>
      </c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42"/>
      <c r="B586" s="42"/>
      <c r="C586" s="42"/>
      <c r="D586" s="43"/>
      <c r="E586" s="42"/>
      <c r="F586" s="44" t="str">
        <f>IFERROR(__xludf.DUMMYFUNCTION("MIN(ARRAYFORMULA(TIMEVALUE(SPLIT(E586,"" ""))))"),"#VALUE!")</f>
        <v>#VALUE!</v>
      </c>
      <c r="G586" s="44" t="str">
        <f>IFERROR(__xludf.DUMMYFUNCTION("MAX(ARRAYFORMULA(TIMEVALUE(SPLIT(E586,"" ""))))"),"#VALUE!")</f>
        <v>#VALUE!</v>
      </c>
      <c r="H586" s="45"/>
      <c r="I586" s="45"/>
      <c r="J586" s="46" t="str">
        <f t="shared" si="36"/>
        <v>#VALUE!</v>
      </c>
      <c r="K586" s="27"/>
      <c r="L586" s="38"/>
      <c r="M586" s="38" t="str">
        <f t="shared" si="29"/>
        <v/>
      </c>
      <c r="N586" s="47"/>
      <c r="O586" s="48" t="str">
        <f t="shared" si="30"/>
        <v>Bảy</v>
      </c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42"/>
      <c r="B587" s="42"/>
      <c r="C587" s="42"/>
      <c r="D587" s="43"/>
      <c r="E587" s="42"/>
      <c r="F587" s="44" t="str">
        <f>IFERROR(__xludf.DUMMYFUNCTION("MIN(ARRAYFORMULA(TIMEVALUE(SPLIT(E587,"" ""))))"),"#VALUE!")</f>
        <v>#VALUE!</v>
      </c>
      <c r="G587" s="44" t="str">
        <f>IFERROR(__xludf.DUMMYFUNCTION("MAX(ARRAYFORMULA(TIMEVALUE(SPLIT(E587,"" ""))))"),"#VALUE!")</f>
        <v>#VALUE!</v>
      </c>
      <c r="H587" s="45"/>
      <c r="I587" s="45"/>
      <c r="J587" s="46" t="str">
        <f t="shared" si="36"/>
        <v>#VALUE!</v>
      </c>
      <c r="K587" s="27"/>
      <c r="L587" s="38"/>
      <c r="M587" s="38" t="str">
        <f t="shared" si="29"/>
        <v/>
      </c>
      <c r="N587" s="47"/>
      <c r="O587" s="48" t="str">
        <f t="shared" si="30"/>
        <v>Bảy</v>
      </c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42"/>
      <c r="B588" s="42"/>
      <c r="C588" s="42"/>
      <c r="D588" s="43"/>
      <c r="E588" s="42"/>
      <c r="F588" s="44" t="str">
        <f>IFERROR(__xludf.DUMMYFUNCTION("MIN(ARRAYFORMULA(TIMEVALUE(SPLIT(E588,"" ""))))"),"#VALUE!")</f>
        <v>#VALUE!</v>
      </c>
      <c r="G588" s="44" t="str">
        <f>IFERROR(__xludf.DUMMYFUNCTION("MAX(ARRAYFORMULA(TIMEVALUE(SPLIT(E588,"" ""))))"),"#VALUE!")</f>
        <v>#VALUE!</v>
      </c>
      <c r="H588" s="45"/>
      <c r="I588" s="45"/>
      <c r="J588" s="46" t="str">
        <f t="shared" si="36"/>
        <v>#VALUE!</v>
      </c>
      <c r="K588" s="27"/>
      <c r="L588" s="38"/>
      <c r="M588" s="38" t="str">
        <f t="shared" si="29"/>
        <v/>
      </c>
      <c r="N588" s="47"/>
      <c r="O588" s="48" t="str">
        <f t="shared" si="30"/>
        <v>Bảy</v>
      </c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42"/>
      <c r="B589" s="42"/>
      <c r="C589" s="42"/>
      <c r="D589" s="43"/>
      <c r="E589" s="42"/>
      <c r="F589" s="44" t="str">
        <f>IFERROR(__xludf.DUMMYFUNCTION("MIN(ARRAYFORMULA(TIMEVALUE(SPLIT(E589,"" ""))))"),"#VALUE!")</f>
        <v>#VALUE!</v>
      </c>
      <c r="G589" s="44" t="str">
        <f>IFERROR(__xludf.DUMMYFUNCTION("MAX(ARRAYFORMULA(TIMEVALUE(SPLIT(E589,"" ""))))"),"#VALUE!")</f>
        <v>#VALUE!</v>
      </c>
      <c r="H589" s="45"/>
      <c r="I589" s="45"/>
      <c r="J589" s="46" t="str">
        <f t="shared" si="36"/>
        <v>#VALUE!</v>
      </c>
      <c r="K589" s="27"/>
      <c r="L589" s="38"/>
      <c r="M589" s="38" t="str">
        <f t="shared" si="29"/>
        <v/>
      </c>
      <c r="N589" s="47"/>
      <c r="O589" s="48" t="str">
        <f t="shared" si="30"/>
        <v>Bảy</v>
      </c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42"/>
      <c r="B590" s="42"/>
      <c r="C590" s="42"/>
      <c r="D590" s="43"/>
      <c r="E590" s="42"/>
      <c r="F590" s="44" t="str">
        <f>IFERROR(__xludf.DUMMYFUNCTION("MIN(ARRAYFORMULA(TIMEVALUE(SPLIT(E590,"" ""))))"),"#VALUE!")</f>
        <v>#VALUE!</v>
      </c>
      <c r="G590" s="44" t="str">
        <f>IFERROR(__xludf.DUMMYFUNCTION("MAX(ARRAYFORMULA(TIMEVALUE(SPLIT(E590,"" ""))))"),"#VALUE!")</f>
        <v>#VALUE!</v>
      </c>
      <c r="H590" s="45"/>
      <c r="I590" s="45"/>
      <c r="J590" s="46" t="str">
        <f t="shared" si="36"/>
        <v>#VALUE!</v>
      </c>
      <c r="K590" s="27"/>
      <c r="L590" s="38"/>
      <c r="M590" s="38" t="str">
        <f t="shared" si="29"/>
        <v/>
      </c>
      <c r="N590" s="47"/>
      <c r="O590" s="48" t="str">
        <f t="shared" si="30"/>
        <v>Bảy</v>
      </c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42"/>
      <c r="B591" s="42"/>
      <c r="C591" s="42"/>
      <c r="D591" s="43"/>
      <c r="E591" s="42"/>
      <c r="F591" s="44" t="str">
        <f>IFERROR(__xludf.DUMMYFUNCTION("MIN(ARRAYFORMULA(TIMEVALUE(SPLIT(E591,"" ""))))"),"#VALUE!")</f>
        <v>#VALUE!</v>
      </c>
      <c r="G591" s="44" t="str">
        <f>IFERROR(__xludf.DUMMYFUNCTION("MAX(ARRAYFORMULA(TIMEVALUE(SPLIT(E591,"" ""))))"),"#VALUE!")</f>
        <v>#VALUE!</v>
      </c>
      <c r="H591" s="45"/>
      <c r="I591" s="45"/>
      <c r="J591" s="46" t="str">
        <f t="shared" si="36"/>
        <v>#VALUE!</v>
      </c>
      <c r="K591" s="27"/>
      <c r="L591" s="38"/>
      <c r="M591" s="38" t="str">
        <f t="shared" si="29"/>
        <v/>
      </c>
      <c r="N591" s="47"/>
      <c r="O591" s="48" t="str">
        <f t="shared" si="30"/>
        <v>Bảy</v>
      </c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42"/>
      <c r="B592" s="42"/>
      <c r="C592" s="42"/>
      <c r="D592" s="43"/>
      <c r="E592" s="42"/>
      <c r="F592" s="44" t="str">
        <f>IFERROR(__xludf.DUMMYFUNCTION("MIN(ARRAYFORMULA(TIMEVALUE(SPLIT(E592,"" ""))))"),"#VALUE!")</f>
        <v>#VALUE!</v>
      </c>
      <c r="G592" s="44" t="str">
        <f>IFERROR(__xludf.DUMMYFUNCTION("MAX(ARRAYFORMULA(TIMEVALUE(SPLIT(E592,"" ""))))"),"#VALUE!")</f>
        <v>#VALUE!</v>
      </c>
      <c r="H592" s="45"/>
      <c r="I592" s="45"/>
      <c r="J592" s="46" t="str">
        <f t="shared" si="36"/>
        <v>#VALUE!</v>
      </c>
      <c r="K592" s="27"/>
      <c r="L592" s="38"/>
      <c r="M592" s="38" t="str">
        <f t="shared" si="29"/>
        <v/>
      </c>
      <c r="N592" s="47"/>
      <c r="O592" s="48" t="str">
        <f t="shared" si="30"/>
        <v>Bảy</v>
      </c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42"/>
      <c r="B593" s="42"/>
      <c r="C593" s="42"/>
      <c r="D593" s="43"/>
      <c r="E593" s="42"/>
      <c r="F593" s="44" t="str">
        <f>IFERROR(__xludf.DUMMYFUNCTION("MIN(ARRAYFORMULA(TIMEVALUE(SPLIT(E593,"" ""))))"),"#VALUE!")</f>
        <v>#VALUE!</v>
      </c>
      <c r="G593" s="44" t="str">
        <f>IFERROR(__xludf.DUMMYFUNCTION("MAX(ARRAYFORMULA(TIMEVALUE(SPLIT(E593,"" ""))))"),"#VALUE!")</f>
        <v>#VALUE!</v>
      </c>
      <c r="H593" s="45"/>
      <c r="I593" s="45"/>
      <c r="J593" s="46" t="str">
        <f t="shared" si="36"/>
        <v>#VALUE!</v>
      </c>
      <c r="K593" s="27"/>
      <c r="L593" s="38"/>
      <c r="M593" s="38" t="str">
        <f t="shared" si="29"/>
        <v/>
      </c>
      <c r="N593" s="47"/>
      <c r="O593" s="48" t="str">
        <f t="shared" si="30"/>
        <v>Bảy</v>
      </c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42"/>
      <c r="B594" s="42"/>
      <c r="C594" s="42"/>
      <c r="D594" s="43"/>
      <c r="E594" s="42"/>
      <c r="F594" s="44" t="str">
        <f>IFERROR(__xludf.DUMMYFUNCTION("MIN(ARRAYFORMULA(TIMEVALUE(SPLIT(E594,"" ""))))"),"#VALUE!")</f>
        <v>#VALUE!</v>
      </c>
      <c r="G594" s="44" t="str">
        <f>IFERROR(__xludf.DUMMYFUNCTION("MAX(ARRAYFORMULA(TIMEVALUE(SPLIT(E594,"" ""))))"),"#VALUE!")</f>
        <v>#VALUE!</v>
      </c>
      <c r="H594" s="45"/>
      <c r="I594" s="45"/>
      <c r="J594" s="46" t="str">
        <f t="shared" si="36"/>
        <v>#VALUE!</v>
      </c>
      <c r="K594" s="27"/>
      <c r="L594" s="38"/>
      <c r="M594" s="38" t="str">
        <f t="shared" si="29"/>
        <v/>
      </c>
      <c r="N594" s="47"/>
      <c r="O594" s="48" t="str">
        <f t="shared" si="30"/>
        <v>Bảy</v>
      </c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42"/>
      <c r="B595" s="42"/>
      <c r="C595" s="42"/>
      <c r="D595" s="43"/>
      <c r="E595" s="42"/>
      <c r="F595" s="44" t="str">
        <f>IFERROR(__xludf.DUMMYFUNCTION("MIN(ARRAYFORMULA(TIMEVALUE(SPLIT(E595,"" ""))))"),"#VALUE!")</f>
        <v>#VALUE!</v>
      </c>
      <c r="G595" s="44" t="str">
        <f>IFERROR(__xludf.DUMMYFUNCTION("MAX(ARRAYFORMULA(TIMEVALUE(SPLIT(E595,"" ""))))"),"#VALUE!")</f>
        <v>#VALUE!</v>
      </c>
      <c r="H595" s="45"/>
      <c r="I595" s="45"/>
      <c r="J595" s="46" t="str">
        <f t="shared" si="36"/>
        <v>#VALUE!</v>
      </c>
      <c r="K595" s="27"/>
      <c r="L595" s="38"/>
      <c r="M595" s="38" t="str">
        <f t="shared" si="29"/>
        <v/>
      </c>
      <c r="N595" s="47"/>
      <c r="O595" s="48" t="str">
        <f t="shared" si="30"/>
        <v>Bảy</v>
      </c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42"/>
      <c r="B596" s="42"/>
      <c r="C596" s="42"/>
      <c r="D596" s="43"/>
      <c r="E596" s="42"/>
      <c r="F596" s="44" t="str">
        <f>IFERROR(__xludf.DUMMYFUNCTION("MIN(ARRAYFORMULA(TIMEVALUE(SPLIT(E596,"" ""))))"),"#VALUE!")</f>
        <v>#VALUE!</v>
      </c>
      <c r="G596" s="44" t="str">
        <f>IFERROR(__xludf.DUMMYFUNCTION("MAX(ARRAYFORMULA(TIMEVALUE(SPLIT(E596,"" ""))))"),"#VALUE!")</f>
        <v>#VALUE!</v>
      </c>
      <c r="H596" s="45"/>
      <c r="I596" s="45"/>
      <c r="J596" s="46" t="str">
        <f t="shared" si="36"/>
        <v>#VALUE!</v>
      </c>
      <c r="K596" s="27"/>
      <c r="L596" s="38"/>
      <c r="M596" s="38" t="str">
        <f t="shared" si="29"/>
        <v/>
      </c>
      <c r="N596" s="47"/>
      <c r="O596" s="48" t="str">
        <f t="shared" si="30"/>
        <v>Bảy</v>
      </c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42"/>
      <c r="B597" s="42"/>
      <c r="C597" s="42"/>
      <c r="D597" s="43"/>
      <c r="E597" s="42"/>
      <c r="F597" s="44" t="str">
        <f>IFERROR(__xludf.DUMMYFUNCTION("MIN(ARRAYFORMULA(TIMEVALUE(SPLIT(E597,"" ""))))"),"#VALUE!")</f>
        <v>#VALUE!</v>
      </c>
      <c r="G597" s="44" t="str">
        <f>IFERROR(__xludf.DUMMYFUNCTION("MAX(ARRAYFORMULA(TIMEVALUE(SPLIT(E597,"" ""))))"),"#VALUE!")</f>
        <v>#VALUE!</v>
      </c>
      <c r="H597" s="45"/>
      <c r="I597" s="45"/>
      <c r="J597" s="46" t="str">
        <f t="shared" si="36"/>
        <v>#VALUE!</v>
      </c>
      <c r="K597" s="27"/>
      <c r="L597" s="38"/>
      <c r="M597" s="38" t="str">
        <f t="shared" si="29"/>
        <v/>
      </c>
      <c r="N597" s="47"/>
      <c r="O597" s="48" t="str">
        <f t="shared" si="30"/>
        <v>Bảy</v>
      </c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42"/>
      <c r="B598" s="42"/>
      <c r="C598" s="42"/>
      <c r="D598" s="43"/>
      <c r="E598" s="42"/>
      <c r="F598" s="44" t="str">
        <f>IFERROR(__xludf.DUMMYFUNCTION("MIN(ARRAYFORMULA(TIMEVALUE(SPLIT(E598,"" ""))))"),"#VALUE!")</f>
        <v>#VALUE!</v>
      </c>
      <c r="G598" s="44" t="str">
        <f>IFERROR(__xludf.DUMMYFUNCTION("MAX(ARRAYFORMULA(TIMEVALUE(SPLIT(E598,"" ""))))"),"#VALUE!")</f>
        <v>#VALUE!</v>
      </c>
      <c r="H598" s="45"/>
      <c r="I598" s="45"/>
      <c r="J598" s="46" t="str">
        <f t="shared" si="36"/>
        <v>#VALUE!</v>
      </c>
      <c r="K598" s="27"/>
      <c r="L598" s="38"/>
      <c r="M598" s="38" t="str">
        <f t="shared" si="29"/>
        <v/>
      </c>
      <c r="N598" s="47"/>
      <c r="O598" s="48" t="str">
        <f t="shared" si="30"/>
        <v>Bảy</v>
      </c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42"/>
      <c r="B599" s="42"/>
      <c r="C599" s="42"/>
      <c r="D599" s="43"/>
      <c r="E599" s="42"/>
      <c r="F599" s="44" t="str">
        <f>IFERROR(__xludf.DUMMYFUNCTION("MIN(ARRAYFORMULA(TIMEVALUE(SPLIT(E599,"" ""))))"),"#VALUE!")</f>
        <v>#VALUE!</v>
      </c>
      <c r="G599" s="44" t="str">
        <f>IFERROR(__xludf.DUMMYFUNCTION("MAX(ARRAYFORMULA(TIMEVALUE(SPLIT(E599,"" ""))))"),"#VALUE!")</f>
        <v>#VALUE!</v>
      </c>
      <c r="H599" s="45"/>
      <c r="I599" s="45"/>
      <c r="J599" s="46" t="str">
        <f t="shared" si="36"/>
        <v>#VALUE!</v>
      </c>
      <c r="K599" s="27"/>
      <c r="L599" s="38"/>
      <c r="M599" s="38" t="str">
        <f t="shared" si="29"/>
        <v/>
      </c>
      <c r="N599" s="47"/>
      <c r="O599" s="48" t="str">
        <f t="shared" si="30"/>
        <v>Bảy</v>
      </c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42"/>
      <c r="B600" s="42"/>
      <c r="C600" s="42"/>
      <c r="D600" s="43"/>
      <c r="E600" s="42"/>
      <c r="F600" s="44" t="str">
        <f>IFERROR(__xludf.DUMMYFUNCTION("MIN(ARRAYFORMULA(TIMEVALUE(SPLIT(E600,"" ""))))"),"#VALUE!")</f>
        <v>#VALUE!</v>
      </c>
      <c r="G600" s="44" t="str">
        <f>IFERROR(__xludf.DUMMYFUNCTION("MAX(ARRAYFORMULA(TIMEVALUE(SPLIT(E600,"" ""))))"),"#VALUE!")</f>
        <v>#VALUE!</v>
      </c>
      <c r="H600" s="45"/>
      <c r="I600" s="45"/>
      <c r="J600" s="46" t="str">
        <f t="shared" si="36"/>
        <v>#VALUE!</v>
      </c>
      <c r="K600" s="27"/>
      <c r="L600" s="38"/>
      <c r="M600" s="38" t="str">
        <f t="shared" si="29"/>
        <v/>
      </c>
      <c r="N600" s="47"/>
      <c r="O600" s="48" t="str">
        <f t="shared" si="30"/>
        <v>Bảy</v>
      </c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42"/>
      <c r="B601" s="42"/>
      <c r="C601" s="42"/>
      <c r="D601" s="43"/>
      <c r="E601" s="42"/>
      <c r="F601" s="44" t="str">
        <f>IFERROR(__xludf.DUMMYFUNCTION("MIN(ARRAYFORMULA(TIMEVALUE(SPLIT(E601,"" ""))))"),"#VALUE!")</f>
        <v>#VALUE!</v>
      </c>
      <c r="G601" s="44" t="str">
        <f>IFERROR(__xludf.DUMMYFUNCTION("MAX(ARRAYFORMULA(TIMEVALUE(SPLIT(E601,"" ""))))"),"#VALUE!")</f>
        <v>#VALUE!</v>
      </c>
      <c r="H601" s="45"/>
      <c r="I601" s="45"/>
      <c r="J601" s="46" t="str">
        <f t="shared" si="36"/>
        <v>#VALUE!</v>
      </c>
      <c r="K601" s="27"/>
      <c r="L601" s="38"/>
      <c r="M601" s="38" t="str">
        <f t="shared" si="29"/>
        <v/>
      </c>
      <c r="N601" s="47"/>
      <c r="O601" s="48" t="str">
        <f t="shared" si="30"/>
        <v>Bảy</v>
      </c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42"/>
      <c r="B602" s="42"/>
      <c r="C602" s="42"/>
      <c r="D602" s="43"/>
      <c r="E602" s="42"/>
      <c r="F602" s="44" t="str">
        <f>IFERROR(__xludf.DUMMYFUNCTION("MIN(ARRAYFORMULA(TIMEVALUE(SPLIT(E602,"" ""))))"),"#VALUE!")</f>
        <v>#VALUE!</v>
      </c>
      <c r="G602" s="44" t="str">
        <f>IFERROR(__xludf.DUMMYFUNCTION("MAX(ARRAYFORMULA(TIMEVALUE(SPLIT(E602,"" ""))))"),"#VALUE!")</f>
        <v>#VALUE!</v>
      </c>
      <c r="H602" s="45"/>
      <c r="I602" s="45"/>
      <c r="J602" s="46" t="str">
        <f t="shared" si="36"/>
        <v>#VALUE!</v>
      </c>
      <c r="K602" s="27"/>
      <c r="L602" s="38"/>
      <c r="M602" s="38" t="str">
        <f t="shared" si="29"/>
        <v/>
      </c>
      <c r="N602" s="47"/>
      <c r="O602" s="48" t="str">
        <f t="shared" si="30"/>
        <v>Bảy</v>
      </c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42"/>
      <c r="B603" s="42"/>
      <c r="C603" s="42"/>
      <c r="D603" s="43"/>
      <c r="E603" s="42"/>
      <c r="F603" s="44" t="str">
        <f>IFERROR(__xludf.DUMMYFUNCTION("MIN(ARRAYFORMULA(TIMEVALUE(SPLIT(E603,"" ""))))"),"#VALUE!")</f>
        <v>#VALUE!</v>
      </c>
      <c r="G603" s="44" t="str">
        <f>IFERROR(__xludf.DUMMYFUNCTION("MAX(ARRAYFORMULA(TIMEVALUE(SPLIT(E603,"" ""))))"),"#VALUE!")</f>
        <v>#VALUE!</v>
      </c>
      <c r="H603" s="45"/>
      <c r="I603" s="45"/>
      <c r="J603" s="46" t="str">
        <f t="shared" si="36"/>
        <v>#VALUE!</v>
      </c>
      <c r="K603" s="27"/>
      <c r="L603" s="38"/>
      <c r="M603" s="38" t="str">
        <f t="shared" si="29"/>
        <v/>
      </c>
      <c r="N603" s="47"/>
      <c r="O603" s="48" t="str">
        <f t="shared" si="30"/>
        <v>Bảy</v>
      </c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42"/>
      <c r="B604" s="42"/>
      <c r="C604" s="42"/>
      <c r="D604" s="43"/>
      <c r="E604" s="42"/>
      <c r="F604" s="44" t="str">
        <f>IFERROR(__xludf.DUMMYFUNCTION("MIN(ARRAYFORMULA(TIMEVALUE(SPLIT(E604,"" ""))))"),"#VALUE!")</f>
        <v>#VALUE!</v>
      </c>
      <c r="G604" s="44" t="str">
        <f>IFERROR(__xludf.DUMMYFUNCTION("MAX(ARRAYFORMULA(TIMEVALUE(SPLIT(E604,"" ""))))"),"#VALUE!")</f>
        <v>#VALUE!</v>
      </c>
      <c r="H604" s="45"/>
      <c r="I604" s="45"/>
      <c r="J604" s="46" t="str">
        <f t="shared" si="36"/>
        <v>#VALUE!</v>
      </c>
      <c r="K604" s="27"/>
      <c r="L604" s="38"/>
      <c r="M604" s="38" t="str">
        <f t="shared" si="29"/>
        <v/>
      </c>
      <c r="N604" s="47"/>
      <c r="O604" s="48" t="str">
        <f t="shared" si="30"/>
        <v>Bảy</v>
      </c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42"/>
      <c r="B605" s="42"/>
      <c r="C605" s="42"/>
      <c r="D605" s="43"/>
      <c r="E605" s="42"/>
      <c r="F605" s="44" t="str">
        <f>IFERROR(__xludf.DUMMYFUNCTION("MIN(ARRAYFORMULA(TIMEVALUE(SPLIT(E605,"" ""))))"),"#VALUE!")</f>
        <v>#VALUE!</v>
      </c>
      <c r="G605" s="44" t="str">
        <f>IFERROR(__xludf.DUMMYFUNCTION("MAX(ARRAYFORMULA(TIMEVALUE(SPLIT(E605,"" ""))))"),"#VALUE!")</f>
        <v>#VALUE!</v>
      </c>
      <c r="H605" s="45"/>
      <c r="I605" s="45"/>
      <c r="J605" s="46" t="str">
        <f t="shared" si="36"/>
        <v>#VALUE!</v>
      </c>
      <c r="K605" s="27"/>
      <c r="L605" s="38"/>
      <c r="M605" s="38" t="str">
        <f t="shared" si="29"/>
        <v/>
      </c>
      <c r="N605" s="47"/>
      <c r="O605" s="48" t="str">
        <f t="shared" si="30"/>
        <v>Bảy</v>
      </c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42"/>
      <c r="B606" s="42"/>
      <c r="C606" s="42"/>
      <c r="D606" s="43"/>
      <c r="E606" s="42"/>
      <c r="F606" s="44" t="str">
        <f>IFERROR(__xludf.DUMMYFUNCTION("MIN(ARRAYFORMULA(TIMEVALUE(SPLIT(E606,"" ""))))"),"#VALUE!")</f>
        <v>#VALUE!</v>
      </c>
      <c r="G606" s="44" t="str">
        <f>IFERROR(__xludf.DUMMYFUNCTION("MAX(ARRAYFORMULA(TIMEVALUE(SPLIT(E606,"" ""))))"),"#VALUE!")</f>
        <v>#VALUE!</v>
      </c>
      <c r="H606" s="45"/>
      <c r="I606" s="45"/>
      <c r="J606" s="46" t="str">
        <f t="shared" si="36"/>
        <v>#VALUE!</v>
      </c>
      <c r="K606" s="27"/>
      <c r="L606" s="38"/>
      <c r="M606" s="38" t="str">
        <f t="shared" si="29"/>
        <v/>
      </c>
      <c r="N606" s="47"/>
      <c r="O606" s="48" t="str">
        <f t="shared" si="30"/>
        <v>Bảy</v>
      </c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42"/>
      <c r="B607" s="42"/>
      <c r="C607" s="42"/>
      <c r="D607" s="43"/>
      <c r="E607" s="42"/>
      <c r="F607" s="44" t="str">
        <f>IFERROR(__xludf.DUMMYFUNCTION("MIN(ARRAYFORMULA(TIMEVALUE(SPLIT(E607,"" ""))))"),"#VALUE!")</f>
        <v>#VALUE!</v>
      </c>
      <c r="G607" s="44" t="str">
        <f>IFERROR(__xludf.DUMMYFUNCTION("MAX(ARRAYFORMULA(TIMEVALUE(SPLIT(E607,"" ""))))"),"#VALUE!")</f>
        <v>#VALUE!</v>
      </c>
      <c r="H607" s="45"/>
      <c r="I607" s="45"/>
      <c r="J607" s="46" t="str">
        <f t="shared" si="36"/>
        <v>#VALUE!</v>
      </c>
      <c r="K607" s="27"/>
      <c r="L607" s="38"/>
      <c r="M607" s="38" t="str">
        <f t="shared" si="29"/>
        <v/>
      </c>
      <c r="N607" s="47"/>
      <c r="O607" s="48" t="str">
        <f t="shared" si="30"/>
        <v>Bảy</v>
      </c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42"/>
      <c r="B608" s="42"/>
      <c r="C608" s="42"/>
      <c r="D608" s="43"/>
      <c r="E608" s="42"/>
      <c r="F608" s="44" t="str">
        <f>IFERROR(__xludf.DUMMYFUNCTION("MIN(ARRAYFORMULA(TIMEVALUE(SPLIT(E608,"" ""))))"),"#VALUE!")</f>
        <v>#VALUE!</v>
      </c>
      <c r="G608" s="44" t="str">
        <f>IFERROR(__xludf.DUMMYFUNCTION("MAX(ARRAYFORMULA(TIMEVALUE(SPLIT(E608,"" ""))))"),"#VALUE!")</f>
        <v>#VALUE!</v>
      </c>
      <c r="H608" s="45"/>
      <c r="I608" s="45"/>
      <c r="J608" s="46" t="str">
        <f t="shared" si="36"/>
        <v>#VALUE!</v>
      </c>
      <c r="K608" s="27"/>
      <c r="L608" s="38"/>
      <c r="M608" s="38" t="str">
        <f t="shared" si="29"/>
        <v/>
      </c>
      <c r="N608" s="47"/>
      <c r="O608" s="48" t="str">
        <f t="shared" si="30"/>
        <v>Bảy</v>
      </c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42"/>
      <c r="B609" s="42"/>
      <c r="C609" s="42"/>
      <c r="D609" s="43"/>
      <c r="E609" s="42"/>
      <c r="F609" s="44" t="str">
        <f>IFERROR(__xludf.DUMMYFUNCTION("MIN(ARRAYFORMULA(TIMEVALUE(SPLIT(E609,"" ""))))"),"#VALUE!")</f>
        <v>#VALUE!</v>
      </c>
      <c r="G609" s="44" t="str">
        <f>IFERROR(__xludf.DUMMYFUNCTION("MAX(ARRAYFORMULA(TIMEVALUE(SPLIT(E609,"" ""))))"),"#VALUE!")</f>
        <v>#VALUE!</v>
      </c>
      <c r="H609" s="45"/>
      <c r="I609" s="45"/>
      <c r="J609" s="46" t="str">
        <f t="shared" si="36"/>
        <v>#VALUE!</v>
      </c>
      <c r="K609" s="27"/>
      <c r="L609" s="38"/>
      <c r="M609" s="38" t="str">
        <f t="shared" si="29"/>
        <v/>
      </c>
      <c r="N609" s="47"/>
      <c r="O609" s="48" t="str">
        <f t="shared" si="30"/>
        <v>Bảy</v>
      </c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42"/>
      <c r="B610" s="42"/>
      <c r="C610" s="42"/>
      <c r="D610" s="43"/>
      <c r="E610" s="42"/>
      <c r="F610" s="44" t="str">
        <f>IFERROR(__xludf.DUMMYFUNCTION("MIN(ARRAYFORMULA(TIMEVALUE(SPLIT(E610,"" ""))))"),"#VALUE!")</f>
        <v>#VALUE!</v>
      </c>
      <c r="G610" s="44" t="str">
        <f>IFERROR(__xludf.DUMMYFUNCTION("MAX(ARRAYFORMULA(TIMEVALUE(SPLIT(E610,"" ""))))"),"#VALUE!")</f>
        <v>#VALUE!</v>
      </c>
      <c r="H610" s="45"/>
      <c r="I610" s="45"/>
      <c r="J610" s="46" t="str">
        <f t="shared" si="36"/>
        <v>#VALUE!</v>
      </c>
      <c r="K610" s="27"/>
      <c r="L610" s="38"/>
      <c r="M610" s="38" t="str">
        <f t="shared" si="29"/>
        <v/>
      </c>
      <c r="N610" s="47"/>
      <c r="O610" s="48" t="str">
        <f t="shared" si="30"/>
        <v>Bảy</v>
      </c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42"/>
      <c r="B611" s="42"/>
      <c r="C611" s="42"/>
      <c r="D611" s="43"/>
      <c r="E611" s="42"/>
      <c r="F611" s="44" t="str">
        <f>IFERROR(__xludf.DUMMYFUNCTION("MIN(ARRAYFORMULA(TIMEVALUE(SPLIT(E611,"" ""))))"),"#VALUE!")</f>
        <v>#VALUE!</v>
      </c>
      <c r="G611" s="44" t="str">
        <f>IFERROR(__xludf.DUMMYFUNCTION("MAX(ARRAYFORMULA(TIMEVALUE(SPLIT(E611,"" ""))))"),"#VALUE!")</f>
        <v>#VALUE!</v>
      </c>
      <c r="H611" s="45"/>
      <c r="I611" s="45"/>
      <c r="J611" s="46" t="str">
        <f t="shared" si="36"/>
        <v>#VALUE!</v>
      </c>
      <c r="K611" s="27"/>
      <c r="L611" s="38"/>
      <c r="M611" s="38" t="str">
        <f t="shared" si="29"/>
        <v/>
      </c>
      <c r="N611" s="47"/>
      <c r="O611" s="48" t="str">
        <f t="shared" si="30"/>
        <v>Bảy</v>
      </c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42"/>
      <c r="B612" s="42"/>
      <c r="C612" s="42"/>
      <c r="D612" s="43"/>
      <c r="E612" s="42"/>
      <c r="F612" s="44" t="str">
        <f>IFERROR(__xludf.DUMMYFUNCTION("MIN(ARRAYFORMULA(TIMEVALUE(SPLIT(E612,"" ""))))"),"#VALUE!")</f>
        <v>#VALUE!</v>
      </c>
      <c r="G612" s="44" t="str">
        <f>IFERROR(__xludf.DUMMYFUNCTION("MAX(ARRAYFORMULA(TIMEVALUE(SPLIT(E612,"" ""))))"),"#VALUE!")</f>
        <v>#VALUE!</v>
      </c>
      <c r="H612" s="45"/>
      <c r="I612" s="45"/>
      <c r="J612" s="46" t="str">
        <f t="shared" si="36"/>
        <v>#VALUE!</v>
      </c>
      <c r="K612" s="27"/>
      <c r="L612" s="38"/>
      <c r="M612" s="38" t="str">
        <f t="shared" si="29"/>
        <v/>
      </c>
      <c r="N612" s="47"/>
      <c r="O612" s="48" t="str">
        <f t="shared" si="30"/>
        <v>Bảy</v>
      </c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42"/>
      <c r="B613" s="42"/>
      <c r="C613" s="42"/>
      <c r="D613" s="43"/>
      <c r="E613" s="42"/>
      <c r="F613" s="44" t="str">
        <f>IFERROR(__xludf.DUMMYFUNCTION("MIN(ARRAYFORMULA(TIMEVALUE(SPLIT(E613,"" ""))))"),"#VALUE!")</f>
        <v>#VALUE!</v>
      </c>
      <c r="G613" s="44" t="str">
        <f>IFERROR(__xludf.DUMMYFUNCTION("MAX(ARRAYFORMULA(TIMEVALUE(SPLIT(E613,"" ""))))"),"#VALUE!")</f>
        <v>#VALUE!</v>
      </c>
      <c r="H613" s="45"/>
      <c r="I613" s="45"/>
      <c r="J613" s="46" t="str">
        <f t="shared" si="36"/>
        <v>#VALUE!</v>
      </c>
      <c r="K613" s="27"/>
      <c r="L613" s="38"/>
      <c r="M613" s="38" t="str">
        <f t="shared" si="29"/>
        <v/>
      </c>
      <c r="N613" s="47"/>
      <c r="O613" s="48" t="str">
        <f t="shared" si="30"/>
        <v>Bảy</v>
      </c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42"/>
      <c r="B614" s="42"/>
      <c r="C614" s="42"/>
      <c r="D614" s="43"/>
      <c r="E614" s="42"/>
      <c r="F614" s="44" t="str">
        <f>IFERROR(__xludf.DUMMYFUNCTION("MIN(ARRAYFORMULA(TIMEVALUE(SPLIT(E614,"" ""))))"),"#VALUE!")</f>
        <v>#VALUE!</v>
      </c>
      <c r="G614" s="44" t="str">
        <f>IFERROR(__xludf.DUMMYFUNCTION("MAX(ARRAYFORMULA(TIMEVALUE(SPLIT(E614,"" ""))))"),"#VALUE!")</f>
        <v>#VALUE!</v>
      </c>
      <c r="H614" s="45"/>
      <c r="I614" s="45"/>
      <c r="J614" s="46" t="str">
        <f t="shared" si="36"/>
        <v>#VALUE!</v>
      </c>
      <c r="K614" s="27"/>
      <c r="L614" s="38"/>
      <c r="M614" s="38" t="str">
        <f t="shared" si="29"/>
        <v/>
      </c>
      <c r="N614" s="47"/>
      <c r="O614" s="48" t="str">
        <f t="shared" si="30"/>
        <v>Bảy</v>
      </c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42"/>
      <c r="B615" s="42"/>
      <c r="C615" s="42"/>
      <c r="D615" s="43"/>
      <c r="E615" s="42"/>
      <c r="F615" s="44" t="str">
        <f>IFERROR(__xludf.DUMMYFUNCTION("MIN(ARRAYFORMULA(TIMEVALUE(SPLIT(E615,"" ""))))"),"#VALUE!")</f>
        <v>#VALUE!</v>
      </c>
      <c r="G615" s="44" t="str">
        <f>IFERROR(__xludf.DUMMYFUNCTION("MAX(ARRAYFORMULA(TIMEVALUE(SPLIT(E615,"" ""))))"),"#VALUE!")</f>
        <v>#VALUE!</v>
      </c>
      <c r="H615" s="45"/>
      <c r="I615" s="45"/>
      <c r="J615" s="46" t="str">
        <f t="shared" si="36"/>
        <v>#VALUE!</v>
      </c>
      <c r="K615" s="27"/>
      <c r="L615" s="38"/>
      <c r="M615" s="38" t="str">
        <f t="shared" si="29"/>
        <v/>
      </c>
      <c r="N615" s="47"/>
      <c r="O615" s="48" t="str">
        <f t="shared" si="30"/>
        <v>Bảy</v>
      </c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42"/>
      <c r="B616" s="42"/>
      <c r="C616" s="42"/>
      <c r="D616" s="43"/>
      <c r="E616" s="42"/>
      <c r="F616" s="44" t="str">
        <f>IFERROR(__xludf.DUMMYFUNCTION("MIN(ARRAYFORMULA(TIMEVALUE(SPLIT(E616,"" ""))))"),"#VALUE!")</f>
        <v>#VALUE!</v>
      </c>
      <c r="G616" s="44" t="str">
        <f>IFERROR(__xludf.DUMMYFUNCTION("MAX(ARRAYFORMULA(TIMEVALUE(SPLIT(E616,"" ""))))"),"#VALUE!")</f>
        <v>#VALUE!</v>
      </c>
      <c r="H616" s="45"/>
      <c r="I616" s="45"/>
      <c r="J616" s="46" t="str">
        <f t="shared" si="36"/>
        <v>#VALUE!</v>
      </c>
      <c r="K616" s="27"/>
      <c r="L616" s="38"/>
      <c r="M616" s="38" t="str">
        <f t="shared" si="29"/>
        <v/>
      </c>
      <c r="N616" s="47"/>
      <c r="O616" s="48" t="str">
        <f t="shared" si="30"/>
        <v>Bảy</v>
      </c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42"/>
      <c r="B617" s="42"/>
      <c r="C617" s="42"/>
      <c r="D617" s="43"/>
      <c r="E617" s="42"/>
      <c r="F617" s="44" t="str">
        <f>IFERROR(__xludf.DUMMYFUNCTION("MIN(ARRAYFORMULA(TIMEVALUE(SPLIT(E617,"" ""))))"),"#VALUE!")</f>
        <v>#VALUE!</v>
      </c>
      <c r="G617" s="44" t="str">
        <f>IFERROR(__xludf.DUMMYFUNCTION("MAX(ARRAYFORMULA(TIMEVALUE(SPLIT(E617,"" ""))))"),"#VALUE!")</f>
        <v>#VALUE!</v>
      </c>
      <c r="H617" s="45"/>
      <c r="I617" s="45"/>
      <c r="J617" s="46" t="str">
        <f t="shared" si="36"/>
        <v>#VALUE!</v>
      </c>
      <c r="K617" s="27"/>
      <c r="L617" s="38"/>
      <c r="M617" s="38" t="str">
        <f t="shared" si="29"/>
        <v/>
      </c>
      <c r="N617" s="47"/>
      <c r="O617" s="48" t="str">
        <f t="shared" si="30"/>
        <v>Bảy</v>
      </c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42"/>
      <c r="B618" s="42"/>
      <c r="C618" s="42"/>
      <c r="D618" s="43"/>
      <c r="E618" s="42"/>
      <c r="F618" s="44" t="str">
        <f>IFERROR(__xludf.DUMMYFUNCTION("MIN(ARRAYFORMULA(TIMEVALUE(SPLIT(E618,"" ""))))"),"#VALUE!")</f>
        <v>#VALUE!</v>
      </c>
      <c r="G618" s="44" t="str">
        <f>IFERROR(__xludf.DUMMYFUNCTION("MAX(ARRAYFORMULA(TIMEVALUE(SPLIT(E618,"" ""))))"),"#VALUE!")</f>
        <v>#VALUE!</v>
      </c>
      <c r="H618" s="45"/>
      <c r="I618" s="45"/>
      <c r="J618" s="46" t="str">
        <f t="shared" si="36"/>
        <v>#VALUE!</v>
      </c>
      <c r="K618" s="27"/>
      <c r="L618" s="38"/>
      <c r="M618" s="38" t="str">
        <f t="shared" si="29"/>
        <v/>
      </c>
      <c r="N618" s="47"/>
      <c r="O618" s="48" t="str">
        <f t="shared" si="30"/>
        <v>Bảy</v>
      </c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42"/>
      <c r="B619" s="42"/>
      <c r="C619" s="42"/>
      <c r="D619" s="43"/>
      <c r="E619" s="42"/>
      <c r="F619" s="44" t="str">
        <f>IFERROR(__xludf.DUMMYFUNCTION("MIN(ARRAYFORMULA(TIMEVALUE(SPLIT(E619,"" ""))))"),"#VALUE!")</f>
        <v>#VALUE!</v>
      </c>
      <c r="G619" s="44" t="str">
        <f>IFERROR(__xludf.DUMMYFUNCTION("MAX(ARRAYFORMULA(TIMEVALUE(SPLIT(E619,"" ""))))"),"#VALUE!")</f>
        <v>#VALUE!</v>
      </c>
      <c r="H619" s="45"/>
      <c r="I619" s="45"/>
      <c r="J619" s="46" t="str">
        <f t="shared" si="36"/>
        <v>#VALUE!</v>
      </c>
      <c r="K619" s="27"/>
      <c r="L619" s="38"/>
      <c r="M619" s="38" t="str">
        <f t="shared" si="29"/>
        <v/>
      </c>
      <c r="N619" s="47"/>
      <c r="O619" s="48" t="str">
        <f t="shared" si="30"/>
        <v>Bảy</v>
      </c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42"/>
      <c r="B620" s="42"/>
      <c r="C620" s="42"/>
      <c r="D620" s="43"/>
      <c r="E620" s="42"/>
      <c r="F620" s="44" t="str">
        <f>IFERROR(__xludf.DUMMYFUNCTION("MIN(ARRAYFORMULA(TIMEVALUE(SPLIT(E620,"" ""))))"),"#VALUE!")</f>
        <v>#VALUE!</v>
      </c>
      <c r="G620" s="44" t="str">
        <f>IFERROR(__xludf.DUMMYFUNCTION("MAX(ARRAYFORMULA(TIMEVALUE(SPLIT(E620,"" ""))))"),"#VALUE!")</f>
        <v>#VALUE!</v>
      </c>
      <c r="H620" s="45"/>
      <c r="I620" s="45"/>
      <c r="J620" s="46" t="str">
        <f t="shared" si="36"/>
        <v>#VALUE!</v>
      </c>
      <c r="K620" s="27"/>
      <c r="L620" s="38"/>
      <c r="M620" s="38" t="str">
        <f t="shared" si="29"/>
        <v/>
      </c>
      <c r="N620" s="47"/>
      <c r="O620" s="48" t="str">
        <f t="shared" si="30"/>
        <v>Bảy</v>
      </c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42"/>
      <c r="B621" s="42"/>
      <c r="C621" s="42"/>
      <c r="D621" s="43"/>
      <c r="E621" s="42"/>
      <c r="F621" s="44" t="str">
        <f>IFERROR(__xludf.DUMMYFUNCTION("MIN(ARRAYFORMULA(TIMEVALUE(SPLIT(E621,"" ""))))"),"#VALUE!")</f>
        <v>#VALUE!</v>
      </c>
      <c r="G621" s="44" t="str">
        <f>IFERROR(__xludf.DUMMYFUNCTION("MAX(ARRAYFORMULA(TIMEVALUE(SPLIT(E621,"" ""))))"),"#VALUE!")</f>
        <v>#VALUE!</v>
      </c>
      <c r="H621" s="45"/>
      <c r="I621" s="45"/>
      <c r="J621" s="46" t="str">
        <f t="shared" si="36"/>
        <v>#VALUE!</v>
      </c>
      <c r="K621" s="27"/>
      <c r="L621" s="38"/>
      <c r="M621" s="38" t="str">
        <f t="shared" si="29"/>
        <v/>
      </c>
      <c r="N621" s="47"/>
      <c r="O621" s="48" t="str">
        <f t="shared" si="30"/>
        <v>Bảy</v>
      </c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42"/>
      <c r="B622" s="42"/>
      <c r="C622" s="42"/>
      <c r="D622" s="43"/>
      <c r="E622" s="42"/>
      <c r="F622" s="44" t="str">
        <f>IFERROR(__xludf.DUMMYFUNCTION("MIN(ARRAYFORMULA(TIMEVALUE(SPLIT(E622,"" ""))))"),"#VALUE!")</f>
        <v>#VALUE!</v>
      </c>
      <c r="G622" s="44" t="str">
        <f>IFERROR(__xludf.DUMMYFUNCTION("MAX(ARRAYFORMULA(TIMEVALUE(SPLIT(E622,"" ""))))"),"#VALUE!")</f>
        <v>#VALUE!</v>
      </c>
      <c r="H622" s="45"/>
      <c r="I622" s="45"/>
      <c r="J622" s="46" t="str">
        <f t="shared" si="36"/>
        <v>#VALUE!</v>
      </c>
      <c r="K622" s="27"/>
      <c r="L622" s="38"/>
      <c r="M622" s="38" t="str">
        <f t="shared" si="29"/>
        <v/>
      </c>
      <c r="N622" s="47"/>
      <c r="O622" s="48" t="str">
        <f t="shared" si="30"/>
        <v>Bảy</v>
      </c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42"/>
      <c r="B623" s="42"/>
      <c r="C623" s="42"/>
      <c r="D623" s="43"/>
      <c r="E623" s="42"/>
      <c r="F623" s="44" t="str">
        <f>IFERROR(__xludf.DUMMYFUNCTION("MIN(ARRAYFORMULA(TIMEVALUE(SPLIT(E623,"" ""))))"),"#VALUE!")</f>
        <v>#VALUE!</v>
      </c>
      <c r="G623" s="44" t="str">
        <f>IFERROR(__xludf.DUMMYFUNCTION("MAX(ARRAYFORMULA(TIMEVALUE(SPLIT(E623,"" ""))))"),"#VALUE!")</f>
        <v>#VALUE!</v>
      </c>
      <c r="H623" s="45"/>
      <c r="I623" s="45"/>
      <c r="J623" s="46" t="str">
        <f t="shared" si="36"/>
        <v>#VALUE!</v>
      </c>
      <c r="K623" s="27"/>
      <c r="L623" s="38"/>
      <c r="M623" s="38" t="str">
        <f t="shared" si="29"/>
        <v/>
      </c>
      <c r="N623" s="47"/>
      <c r="O623" s="48" t="str">
        <f t="shared" si="30"/>
        <v>Bảy</v>
      </c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42"/>
      <c r="B624" s="42"/>
      <c r="C624" s="42"/>
      <c r="D624" s="43"/>
      <c r="E624" s="42"/>
      <c r="F624" s="44" t="str">
        <f>IFERROR(__xludf.DUMMYFUNCTION("MIN(ARRAYFORMULA(TIMEVALUE(SPLIT(E624,"" ""))))"),"#VALUE!")</f>
        <v>#VALUE!</v>
      </c>
      <c r="G624" s="44" t="str">
        <f>IFERROR(__xludf.DUMMYFUNCTION("MAX(ARRAYFORMULA(TIMEVALUE(SPLIT(E624,"" ""))))"),"#VALUE!")</f>
        <v>#VALUE!</v>
      </c>
      <c r="H624" s="45"/>
      <c r="I624" s="45"/>
      <c r="J624" s="46" t="str">
        <f t="shared" si="36"/>
        <v>#VALUE!</v>
      </c>
      <c r="K624" s="27"/>
      <c r="L624" s="38"/>
      <c r="M624" s="38" t="str">
        <f t="shared" si="29"/>
        <v/>
      </c>
      <c r="N624" s="47"/>
      <c r="O624" s="48" t="str">
        <f t="shared" si="30"/>
        <v>Bảy</v>
      </c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42"/>
      <c r="B625" s="42"/>
      <c r="C625" s="42"/>
      <c r="D625" s="43"/>
      <c r="E625" s="42"/>
      <c r="F625" s="44" t="str">
        <f>IFERROR(__xludf.DUMMYFUNCTION("MIN(ARRAYFORMULA(TIMEVALUE(SPLIT(E625,"" ""))))"),"#VALUE!")</f>
        <v>#VALUE!</v>
      </c>
      <c r="G625" s="44" t="str">
        <f>IFERROR(__xludf.DUMMYFUNCTION("MAX(ARRAYFORMULA(TIMEVALUE(SPLIT(E625,"" ""))))"),"#VALUE!")</f>
        <v>#VALUE!</v>
      </c>
      <c r="H625" s="45"/>
      <c r="I625" s="45"/>
      <c r="J625" s="46" t="str">
        <f t="shared" si="36"/>
        <v>#VALUE!</v>
      </c>
      <c r="K625" s="27"/>
      <c r="L625" s="38"/>
      <c r="M625" s="38" t="str">
        <f t="shared" si="29"/>
        <v/>
      </c>
      <c r="N625" s="47"/>
      <c r="O625" s="48" t="str">
        <f t="shared" si="30"/>
        <v>Bảy</v>
      </c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42"/>
      <c r="B626" s="42"/>
      <c r="C626" s="42"/>
      <c r="D626" s="43"/>
      <c r="E626" s="42"/>
      <c r="F626" s="44" t="str">
        <f>IFERROR(__xludf.DUMMYFUNCTION("MIN(ARRAYFORMULA(TIMEVALUE(SPLIT(E626,"" ""))))"),"#VALUE!")</f>
        <v>#VALUE!</v>
      </c>
      <c r="G626" s="44" t="str">
        <f>IFERROR(__xludf.DUMMYFUNCTION("MAX(ARRAYFORMULA(TIMEVALUE(SPLIT(E626,"" ""))))"),"#VALUE!")</f>
        <v>#VALUE!</v>
      </c>
      <c r="H626" s="45"/>
      <c r="I626" s="45"/>
      <c r="J626" s="46" t="str">
        <f t="shared" si="36"/>
        <v>#VALUE!</v>
      </c>
      <c r="K626" s="27"/>
      <c r="L626" s="38"/>
      <c r="M626" s="38" t="str">
        <f t="shared" si="29"/>
        <v/>
      </c>
      <c r="N626" s="47"/>
      <c r="O626" s="48" t="str">
        <f t="shared" si="30"/>
        <v>Bảy</v>
      </c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42"/>
      <c r="B627" s="42"/>
      <c r="C627" s="42"/>
      <c r="D627" s="43"/>
      <c r="E627" s="42"/>
      <c r="F627" s="44" t="str">
        <f>IFERROR(__xludf.DUMMYFUNCTION("MIN(ARRAYFORMULA(TIMEVALUE(SPLIT(E627,"" ""))))"),"#VALUE!")</f>
        <v>#VALUE!</v>
      </c>
      <c r="G627" s="44" t="str">
        <f>IFERROR(__xludf.DUMMYFUNCTION("MAX(ARRAYFORMULA(TIMEVALUE(SPLIT(E627,"" ""))))"),"#VALUE!")</f>
        <v>#VALUE!</v>
      </c>
      <c r="H627" s="45"/>
      <c r="I627" s="45"/>
      <c r="J627" s="46" t="str">
        <f t="shared" si="36"/>
        <v>#VALUE!</v>
      </c>
      <c r="K627" s="27"/>
      <c r="L627" s="38"/>
      <c r="M627" s="38" t="str">
        <f t="shared" si="29"/>
        <v/>
      </c>
      <c r="N627" s="47"/>
      <c r="O627" s="48" t="str">
        <f t="shared" si="30"/>
        <v>Bảy</v>
      </c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42"/>
      <c r="B628" s="42"/>
      <c r="C628" s="42"/>
      <c r="D628" s="43"/>
      <c r="E628" s="42"/>
      <c r="F628" s="44" t="str">
        <f>IFERROR(__xludf.DUMMYFUNCTION("MIN(ARRAYFORMULA(TIMEVALUE(SPLIT(E628,"" ""))))"),"#VALUE!")</f>
        <v>#VALUE!</v>
      </c>
      <c r="G628" s="44" t="str">
        <f>IFERROR(__xludf.DUMMYFUNCTION("MAX(ARRAYFORMULA(TIMEVALUE(SPLIT(E628,"" ""))))"),"#VALUE!")</f>
        <v>#VALUE!</v>
      </c>
      <c r="H628" s="45"/>
      <c r="I628" s="45"/>
      <c r="J628" s="46" t="str">
        <f t="shared" si="36"/>
        <v>#VALUE!</v>
      </c>
      <c r="K628" s="27"/>
      <c r="L628" s="38"/>
      <c r="M628" s="38" t="str">
        <f t="shared" si="29"/>
        <v/>
      </c>
      <c r="N628" s="47"/>
      <c r="O628" s="48" t="str">
        <f t="shared" si="30"/>
        <v>Bảy</v>
      </c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42"/>
      <c r="B629" s="42"/>
      <c r="C629" s="42"/>
      <c r="D629" s="43"/>
      <c r="E629" s="42"/>
      <c r="F629" s="44" t="str">
        <f>IFERROR(__xludf.DUMMYFUNCTION("MIN(ARRAYFORMULA(TIMEVALUE(SPLIT(E629,"" ""))))"),"#VALUE!")</f>
        <v>#VALUE!</v>
      </c>
      <c r="G629" s="44" t="str">
        <f>IFERROR(__xludf.DUMMYFUNCTION("MAX(ARRAYFORMULA(TIMEVALUE(SPLIT(E629,"" ""))))"),"#VALUE!")</f>
        <v>#VALUE!</v>
      </c>
      <c r="H629" s="45"/>
      <c r="I629" s="45"/>
      <c r="J629" s="46" t="str">
        <f t="shared" si="36"/>
        <v>#VALUE!</v>
      </c>
      <c r="K629" s="27"/>
      <c r="L629" s="38"/>
      <c r="M629" s="38" t="str">
        <f t="shared" si="29"/>
        <v/>
      </c>
      <c r="N629" s="47"/>
      <c r="O629" s="48" t="str">
        <f t="shared" si="30"/>
        <v>Bảy</v>
      </c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42"/>
      <c r="B630" s="42"/>
      <c r="C630" s="42"/>
      <c r="D630" s="43"/>
      <c r="E630" s="42"/>
      <c r="F630" s="44" t="str">
        <f>IFERROR(__xludf.DUMMYFUNCTION("MIN(ARRAYFORMULA(TIMEVALUE(SPLIT(E630,"" ""))))"),"#VALUE!")</f>
        <v>#VALUE!</v>
      </c>
      <c r="G630" s="44" t="str">
        <f>IFERROR(__xludf.DUMMYFUNCTION("MAX(ARRAYFORMULA(TIMEVALUE(SPLIT(E630,"" ""))))"),"#VALUE!")</f>
        <v>#VALUE!</v>
      </c>
      <c r="H630" s="45"/>
      <c r="I630" s="45"/>
      <c r="J630" s="46" t="str">
        <f t="shared" si="36"/>
        <v>#VALUE!</v>
      </c>
      <c r="K630" s="27"/>
      <c r="L630" s="38"/>
      <c r="M630" s="38" t="str">
        <f t="shared" si="29"/>
        <v/>
      </c>
      <c r="N630" s="47"/>
      <c r="O630" s="48" t="str">
        <f t="shared" si="30"/>
        <v>Bảy</v>
      </c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42"/>
      <c r="B631" s="42"/>
      <c r="C631" s="42"/>
      <c r="D631" s="43"/>
      <c r="E631" s="42"/>
      <c r="F631" s="44" t="str">
        <f>IFERROR(__xludf.DUMMYFUNCTION("MIN(ARRAYFORMULA(TIMEVALUE(SPLIT(E631,"" ""))))"),"#VALUE!")</f>
        <v>#VALUE!</v>
      </c>
      <c r="G631" s="44" t="str">
        <f>IFERROR(__xludf.DUMMYFUNCTION("MAX(ARRAYFORMULA(TIMEVALUE(SPLIT(E631,"" ""))))"),"#VALUE!")</f>
        <v>#VALUE!</v>
      </c>
      <c r="H631" s="45"/>
      <c r="I631" s="45"/>
      <c r="J631" s="46" t="str">
        <f t="shared" si="36"/>
        <v>#VALUE!</v>
      </c>
      <c r="K631" s="27"/>
      <c r="L631" s="38"/>
      <c r="M631" s="38" t="str">
        <f t="shared" si="29"/>
        <v/>
      </c>
      <c r="N631" s="47"/>
      <c r="O631" s="48" t="str">
        <f t="shared" si="30"/>
        <v>Bảy</v>
      </c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42"/>
      <c r="B632" s="42"/>
      <c r="C632" s="42"/>
      <c r="D632" s="43"/>
      <c r="E632" s="42"/>
      <c r="F632" s="44" t="str">
        <f>IFERROR(__xludf.DUMMYFUNCTION("MIN(ARRAYFORMULA(TIMEVALUE(SPLIT(E632,"" ""))))"),"#VALUE!")</f>
        <v>#VALUE!</v>
      </c>
      <c r="G632" s="44" t="str">
        <f>IFERROR(__xludf.DUMMYFUNCTION("MAX(ARRAYFORMULA(TIMEVALUE(SPLIT(E632,"" ""))))"),"#VALUE!")</f>
        <v>#VALUE!</v>
      </c>
      <c r="H632" s="45"/>
      <c r="I632" s="45"/>
      <c r="J632" s="46" t="str">
        <f t="shared" si="36"/>
        <v>#VALUE!</v>
      </c>
      <c r="K632" s="27"/>
      <c r="L632" s="38"/>
      <c r="M632" s="38" t="str">
        <f t="shared" si="29"/>
        <v/>
      </c>
      <c r="N632" s="47"/>
      <c r="O632" s="48" t="str">
        <f t="shared" si="30"/>
        <v>Bảy</v>
      </c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42"/>
      <c r="B633" s="42"/>
      <c r="C633" s="42"/>
      <c r="D633" s="43"/>
      <c r="E633" s="42"/>
      <c r="F633" s="44" t="str">
        <f>IFERROR(__xludf.DUMMYFUNCTION("MIN(ARRAYFORMULA(TIMEVALUE(SPLIT(E633,"" ""))))"),"#VALUE!")</f>
        <v>#VALUE!</v>
      </c>
      <c r="G633" s="44" t="str">
        <f>IFERROR(__xludf.DUMMYFUNCTION("MAX(ARRAYFORMULA(TIMEVALUE(SPLIT(E633,"" ""))))"),"#VALUE!")</f>
        <v>#VALUE!</v>
      </c>
      <c r="H633" s="45"/>
      <c r="I633" s="45"/>
      <c r="J633" s="46" t="str">
        <f t="shared" si="36"/>
        <v>#VALUE!</v>
      </c>
      <c r="K633" s="27"/>
      <c r="L633" s="38"/>
      <c r="M633" s="38" t="str">
        <f t="shared" si="29"/>
        <v/>
      </c>
      <c r="N633" s="47"/>
      <c r="O633" s="48" t="str">
        <f t="shared" si="30"/>
        <v>Bảy</v>
      </c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42"/>
      <c r="B634" s="42"/>
      <c r="C634" s="42"/>
      <c r="D634" s="43"/>
      <c r="E634" s="42"/>
      <c r="F634" s="44" t="str">
        <f>IFERROR(__xludf.DUMMYFUNCTION("MIN(ARRAYFORMULA(TIMEVALUE(SPLIT(E634,"" ""))))"),"#VALUE!")</f>
        <v>#VALUE!</v>
      </c>
      <c r="G634" s="44" t="str">
        <f>IFERROR(__xludf.DUMMYFUNCTION("MAX(ARRAYFORMULA(TIMEVALUE(SPLIT(E634,"" ""))))"),"#VALUE!")</f>
        <v>#VALUE!</v>
      </c>
      <c r="H634" s="45"/>
      <c r="I634" s="45"/>
      <c r="J634" s="46" t="str">
        <f t="shared" si="36"/>
        <v>#VALUE!</v>
      </c>
      <c r="K634" s="27"/>
      <c r="L634" s="38"/>
      <c r="M634" s="38" t="str">
        <f t="shared" si="29"/>
        <v/>
      </c>
      <c r="N634" s="47"/>
      <c r="O634" s="48" t="str">
        <f t="shared" si="30"/>
        <v>Bảy</v>
      </c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42"/>
      <c r="B635" s="42"/>
      <c r="C635" s="42"/>
      <c r="D635" s="43"/>
      <c r="E635" s="42"/>
      <c r="F635" s="44" t="str">
        <f>IFERROR(__xludf.DUMMYFUNCTION("MIN(ARRAYFORMULA(TIMEVALUE(SPLIT(E635,"" ""))))"),"#VALUE!")</f>
        <v>#VALUE!</v>
      </c>
      <c r="G635" s="44" t="str">
        <f>IFERROR(__xludf.DUMMYFUNCTION("MAX(ARRAYFORMULA(TIMEVALUE(SPLIT(E635,"" ""))))"),"#VALUE!")</f>
        <v>#VALUE!</v>
      </c>
      <c r="H635" s="45"/>
      <c r="I635" s="45"/>
      <c r="J635" s="46" t="str">
        <f t="shared" si="36"/>
        <v>#VALUE!</v>
      </c>
      <c r="K635" s="27"/>
      <c r="L635" s="38"/>
      <c r="M635" s="38" t="str">
        <f t="shared" si="29"/>
        <v/>
      </c>
      <c r="N635" s="47"/>
      <c r="O635" s="48" t="str">
        <f t="shared" si="30"/>
        <v>Bảy</v>
      </c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42"/>
      <c r="B636" s="42"/>
      <c r="C636" s="42"/>
      <c r="D636" s="43"/>
      <c r="E636" s="42"/>
      <c r="F636" s="44" t="str">
        <f>IFERROR(__xludf.DUMMYFUNCTION("MIN(ARRAYFORMULA(TIMEVALUE(SPLIT(E636,"" ""))))"),"#VALUE!")</f>
        <v>#VALUE!</v>
      </c>
      <c r="G636" s="44" t="str">
        <f>IFERROR(__xludf.DUMMYFUNCTION("MAX(ARRAYFORMULA(TIMEVALUE(SPLIT(E636,"" ""))))"),"#VALUE!")</f>
        <v>#VALUE!</v>
      </c>
      <c r="H636" s="45"/>
      <c r="I636" s="45"/>
      <c r="J636" s="46" t="str">
        <f t="shared" si="36"/>
        <v>#VALUE!</v>
      </c>
      <c r="K636" s="27"/>
      <c r="L636" s="38"/>
      <c r="M636" s="38" t="str">
        <f t="shared" si="29"/>
        <v/>
      </c>
      <c r="N636" s="47"/>
      <c r="O636" s="48" t="str">
        <f t="shared" si="30"/>
        <v>Bảy</v>
      </c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42"/>
      <c r="B637" s="42"/>
      <c r="C637" s="42"/>
      <c r="D637" s="43"/>
      <c r="E637" s="42"/>
      <c r="F637" s="44" t="str">
        <f>IFERROR(__xludf.DUMMYFUNCTION("MIN(ARRAYFORMULA(TIMEVALUE(SPLIT(E637,"" ""))))"),"#VALUE!")</f>
        <v>#VALUE!</v>
      </c>
      <c r="G637" s="44" t="str">
        <f>IFERROR(__xludf.DUMMYFUNCTION("MAX(ARRAYFORMULA(TIMEVALUE(SPLIT(E637,"" ""))))"),"#VALUE!")</f>
        <v>#VALUE!</v>
      </c>
      <c r="H637" s="45"/>
      <c r="I637" s="45"/>
      <c r="J637" s="46" t="str">
        <f t="shared" si="36"/>
        <v>#VALUE!</v>
      </c>
      <c r="K637" s="27"/>
      <c r="L637" s="38"/>
      <c r="M637" s="38" t="str">
        <f t="shared" si="29"/>
        <v/>
      </c>
      <c r="N637" s="47"/>
      <c r="O637" s="48" t="str">
        <f t="shared" si="30"/>
        <v>Bảy</v>
      </c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42"/>
      <c r="B638" s="42"/>
      <c r="C638" s="42"/>
      <c r="D638" s="43"/>
      <c r="E638" s="42"/>
      <c r="F638" s="44" t="str">
        <f>IFERROR(__xludf.DUMMYFUNCTION("MIN(ARRAYFORMULA(TIMEVALUE(SPLIT(E638,"" ""))))"),"#VALUE!")</f>
        <v>#VALUE!</v>
      </c>
      <c r="G638" s="44" t="str">
        <f>IFERROR(__xludf.DUMMYFUNCTION("MAX(ARRAYFORMULA(TIMEVALUE(SPLIT(E638,"" ""))))"),"#VALUE!")</f>
        <v>#VALUE!</v>
      </c>
      <c r="H638" s="45"/>
      <c r="I638" s="45"/>
      <c r="J638" s="46" t="str">
        <f t="shared" si="36"/>
        <v>#VALUE!</v>
      </c>
      <c r="K638" s="27"/>
      <c r="L638" s="38"/>
      <c r="M638" s="38" t="str">
        <f t="shared" si="29"/>
        <v/>
      </c>
      <c r="N638" s="47"/>
      <c r="O638" s="48" t="str">
        <f t="shared" si="30"/>
        <v>Bảy</v>
      </c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42"/>
      <c r="B639" s="42"/>
      <c r="C639" s="42"/>
      <c r="D639" s="43"/>
      <c r="E639" s="42"/>
      <c r="F639" s="44" t="str">
        <f>IFERROR(__xludf.DUMMYFUNCTION("MIN(ARRAYFORMULA(TIMEVALUE(SPLIT(E639,"" ""))))"),"#VALUE!")</f>
        <v>#VALUE!</v>
      </c>
      <c r="G639" s="44" t="str">
        <f>IFERROR(__xludf.DUMMYFUNCTION("MAX(ARRAYFORMULA(TIMEVALUE(SPLIT(E639,"" ""))))"),"#VALUE!")</f>
        <v>#VALUE!</v>
      </c>
      <c r="H639" s="45"/>
      <c r="I639" s="45"/>
      <c r="J639" s="46" t="str">
        <f t="shared" si="36"/>
        <v>#VALUE!</v>
      </c>
      <c r="K639" s="27"/>
      <c r="L639" s="38"/>
      <c r="M639" s="38" t="str">
        <f t="shared" si="29"/>
        <v/>
      </c>
      <c r="N639" s="47"/>
      <c r="O639" s="48" t="str">
        <f t="shared" si="30"/>
        <v>Bảy</v>
      </c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42"/>
      <c r="B640" s="42"/>
      <c r="C640" s="42"/>
      <c r="D640" s="43"/>
      <c r="E640" s="42"/>
      <c r="F640" s="44" t="str">
        <f>IFERROR(__xludf.DUMMYFUNCTION("MIN(ARRAYFORMULA(TIMEVALUE(SPLIT(E640,"" ""))))"),"#VALUE!")</f>
        <v>#VALUE!</v>
      </c>
      <c r="G640" s="44" t="str">
        <f>IFERROR(__xludf.DUMMYFUNCTION("MAX(ARRAYFORMULA(TIMEVALUE(SPLIT(E640,"" ""))))"),"#VALUE!")</f>
        <v>#VALUE!</v>
      </c>
      <c r="H640" s="45"/>
      <c r="I640" s="45"/>
      <c r="J640" s="46" t="str">
        <f t="shared" si="36"/>
        <v>#VALUE!</v>
      </c>
      <c r="K640" s="27"/>
      <c r="L640" s="38"/>
      <c r="M640" s="38" t="str">
        <f t="shared" si="29"/>
        <v/>
      </c>
      <c r="N640" s="47"/>
      <c r="O640" s="48" t="str">
        <f t="shared" si="30"/>
        <v>Bảy</v>
      </c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42"/>
      <c r="B641" s="42"/>
      <c r="C641" s="42"/>
      <c r="D641" s="43"/>
      <c r="E641" s="42"/>
      <c r="F641" s="44" t="str">
        <f>IFERROR(__xludf.DUMMYFUNCTION("MIN(ARRAYFORMULA(TIMEVALUE(SPLIT(E641,"" ""))))"),"#VALUE!")</f>
        <v>#VALUE!</v>
      </c>
      <c r="G641" s="44" t="str">
        <f>IFERROR(__xludf.DUMMYFUNCTION("MAX(ARRAYFORMULA(TIMEVALUE(SPLIT(E641,"" ""))))"),"#VALUE!")</f>
        <v>#VALUE!</v>
      </c>
      <c r="H641" s="45"/>
      <c r="I641" s="45"/>
      <c r="J641" s="46" t="str">
        <f t="shared" si="36"/>
        <v>#VALUE!</v>
      </c>
      <c r="K641" s="27"/>
      <c r="L641" s="38"/>
      <c r="M641" s="38" t="str">
        <f t="shared" si="29"/>
        <v/>
      </c>
      <c r="N641" s="47"/>
      <c r="O641" s="48" t="str">
        <f t="shared" si="30"/>
        <v>Bảy</v>
      </c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42"/>
      <c r="B642" s="42"/>
      <c r="C642" s="42"/>
      <c r="D642" s="43"/>
      <c r="E642" s="42"/>
      <c r="F642" s="44" t="str">
        <f>IFERROR(__xludf.DUMMYFUNCTION("MIN(ARRAYFORMULA(TIMEVALUE(SPLIT(E642,"" ""))))"),"#VALUE!")</f>
        <v>#VALUE!</v>
      </c>
      <c r="G642" s="44" t="str">
        <f>IFERROR(__xludf.DUMMYFUNCTION("MAX(ARRAYFORMULA(TIMEVALUE(SPLIT(E642,"" ""))))"),"#VALUE!")</f>
        <v>#VALUE!</v>
      </c>
      <c r="H642" s="45"/>
      <c r="I642" s="45"/>
      <c r="J642" s="46" t="str">
        <f t="shared" si="36"/>
        <v>#VALUE!</v>
      </c>
      <c r="K642" s="27"/>
      <c r="L642" s="38"/>
      <c r="M642" s="38" t="str">
        <f t="shared" si="29"/>
        <v/>
      </c>
      <c r="N642" s="47"/>
      <c r="O642" s="48" t="str">
        <f t="shared" si="30"/>
        <v>Bảy</v>
      </c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42"/>
      <c r="B643" s="42"/>
      <c r="C643" s="42"/>
      <c r="D643" s="43"/>
      <c r="E643" s="42"/>
      <c r="F643" s="44" t="str">
        <f>IFERROR(__xludf.DUMMYFUNCTION("MIN(ARRAYFORMULA(TIMEVALUE(SPLIT(E643,"" ""))))"),"#VALUE!")</f>
        <v>#VALUE!</v>
      </c>
      <c r="G643" s="44" t="str">
        <f>IFERROR(__xludf.DUMMYFUNCTION("MAX(ARRAYFORMULA(TIMEVALUE(SPLIT(E643,"" ""))))"),"#VALUE!")</f>
        <v>#VALUE!</v>
      </c>
      <c r="H643" s="45"/>
      <c r="I643" s="45"/>
      <c r="J643" s="46" t="str">
        <f t="shared" si="36"/>
        <v>#VALUE!</v>
      </c>
      <c r="K643" s="27"/>
      <c r="L643" s="38"/>
      <c r="M643" s="38" t="str">
        <f t="shared" si="29"/>
        <v/>
      </c>
      <c r="N643" s="47"/>
      <c r="O643" s="48" t="str">
        <f t="shared" si="30"/>
        <v>Bảy</v>
      </c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42"/>
      <c r="B644" s="42"/>
      <c r="C644" s="42"/>
      <c r="D644" s="43"/>
      <c r="E644" s="42"/>
      <c r="F644" s="44" t="str">
        <f>IFERROR(__xludf.DUMMYFUNCTION("MIN(ARRAYFORMULA(TIMEVALUE(SPLIT(E644,"" ""))))"),"#VALUE!")</f>
        <v>#VALUE!</v>
      </c>
      <c r="G644" s="44" t="str">
        <f>IFERROR(__xludf.DUMMYFUNCTION("MAX(ARRAYFORMULA(TIMEVALUE(SPLIT(E644,"" ""))))"),"#VALUE!")</f>
        <v>#VALUE!</v>
      </c>
      <c r="H644" s="45"/>
      <c r="I644" s="45"/>
      <c r="J644" s="46" t="str">
        <f t="shared" si="36"/>
        <v>#VALUE!</v>
      </c>
      <c r="K644" s="27"/>
      <c r="L644" s="38"/>
      <c r="M644" s="38" t="str">
        <f t="shared" si="29"/>
        <v/>
      </c>
      <c r="N644" s="47"/>
      <c r="O644" s="48" t="str">
        <f t="shared" si="30"/>
        <v>Bảy</v>
      </c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42"/>
      <c r="B645" s="42"/>
      <c r="C645" s="42"/>
      <c r="D645" s="43"/>
      <c r="E645" s="42"/>
      <c r="F645" s="44" t="str">
        <f>IFERROR(__xludf.DUMMYFUNCTION("MIN(ARRAYFORMULA(TIMEVALUE(SPLIT(E645,"" ""))))"),"#VALUE!")</f>
        <v>#VALUE!</v>
      </c>
      <c r="G645" s="44" t="str">
        <f>IFERROR(__xludf.DUMMYFUNCTION("MAX(ARRAYFORMULA(TIMEVALUE(SPLIT(E645,"" ""))))"),"#VALUE!")</f>
        <v>#VALUE!</v>
      </c>
      <c r="H645" s="45"/>
      <c r="I645" s="45"/>
      <c r="J645" s="46" t="str">
        <f t="shared" si="36"/>
        <v>#VALUE!</v>
      </c>
      <c r="K645" s="27"/>
      <c r="L645" s="38"/>
      <c r="M645" s="38" t="str">
        <f t="shared" si="29"/>
        <v/>
      </c>
      <c r="N645" s="47"/>
      <c r="O645" s="48" t="str">
        <f t="shared" si="30"/>
        <v>Bảy</v>
      </c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58"/>
      <c r="E646" s="20"/>
      <c r="F646" s="59"/>
      <c r="G646" s="20"/>
      <c r="H646" s="60"/>
      <c r="I646" s="60"/>
      <c r="J646" s="20"/>
      <c r="K646" s="20"/>
      <c r="L646" s="20"/>
      <c r="M646" s="20"/>
      <c r="N646" s="34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58"/>
      <c r="E647" s="20"/>
      <c r="F647" s="59"/>
      <c r="G647" s="20"/>
      <c r="H647" s="60"/>
      <c r="I647" s="60"/>
      <c r="J647" s="20"/>
      <c r="K647" s="20"/>
      <c r="L647" s="20"/>
      <c r="M647" s="20"/>
      <c r="N647" s="34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58"/>
      <c r="E648" s="20"/>
      <c r="F648" s="59"/>
      <c r="G648" s="20"/>
      <c r="H648" s="60"/>
      <c r="I648" s="60"/>
      <c r="J648" s="20"/>
      <c r="K648" s="20"/>
      <c r="L648" s="20"/>
      <c r="M648" s="20"/>
      <c r="N648" s="34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58"/>
      <c r="E649" s="20"/>
      <c r="F649" s="59"/>
      <c r="G649" s="20"/>
      <c r="H649" s="60"/>
      <c r="I649" s="60"/>
      <c r="J649" s="20"/>
      <c r="K649" s="20"/>
      <c r="L649" s="20"/>
      <c r="M649" s="20"/>
      <c r="N649" s="34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58"/>
      <c r="E650" s="20"/>
      <c r="F650" s="59"/>
      <c r="G650" s="20"/>
      <c r="H650" s="60"/>
      <c r="I650" s="60"/>
      <c r="J650" s="20"/>
      <c r="K650" s="20"/>
      <c r="L650" s="20"/>
      <c r="M650" s="20"/>
      <c r="N650" s="34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58"/>
      <c r="E651" s="20"/>
      <c r="F651" s="59"/>
      <c r="G651" s="20"/>
      <c r="H651" s="60"/>
      <c r="I651" s="60"/>
      <c r="J651" s="20"/>
      <c r="K651" s="20"/>
      <c r="L651" s="20"/>
      <c r="M651" s="20"/>
      <c r="N651" s="34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58"/>
      <c r="E652" s="20"/>
      <c r="F652" s="59"/>
      <c r="G652" s="20"/>
      <c r="H652" s="60"/>
      <c r="I652" s="60"/>
      <c r="J652" s="20"/>
      <c r="K652" s="20"/>
      <c r="L652" s="20"/>
      <c r="M652" s="20"/>
      <c r="N652" s="34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58"/>
      <c r="E653" s="20"/>
      <c r="F653" s="59"/>
      <c r="G653" s="20"/>
      <c r="H653" s="60"/>
      <c r="I653" s="60"/>
      <c r="J653" s="20"/>
      <c r="K653" s="20"/>
      <c r="L653" s="20"/>
      <c r="M653" s="20"/>
      <c r="N653" s="34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58"/>
      <c r="E654" s="20"/>
      <c r="F654" s="59"/>
      <c r="G654" s="20"/>
      <c r="H654" s="60"/>
      <c r="I654" s="60"/>
      <c r="J654" s="20"/>
      <c r="K654" s="20"/>
      <c r="L654" s="20"/>
      <c r="M654" s="20"/>
      <c r="N654" s="34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58"/>
      <c r="E655" s="20"/>
      <c r="F655" s="59"/>
      <c r="G655" s="20"/>
      <c r="H655" s="60"/>
      <c r="I655" s="60"/>
      <c r="J655" s="20"/>
      <c r="K655" s="20"/>
      <c r="L655" s="20"/>
      <c r="M655" s="20"/>
      <c r="N655" s="34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58"/>
      <c r="E656" s="20"/>
      <c r="F656" s="59"/>
      <c r="G656" s="20"/>
      <c r="H656" s="60"/>
      <c r="I656" s="60"/>
      <c r="J656" s="20"/>
      <c r="K656" s="20"/>
      <c r="L656" s="20"/>
      <c r="M656" s="20"/>
      <c r="N656" s="34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58"/>
      <c r="E657" s="20"/>
      <c r="F657" s="59"/>
      <c r="G657" s="20"/>
      <c r="H657" s="60"/>
      <c r="I657" s="60"/>
      <c r="J657" s="20"/>
      <c r="K657" s="20"/>
      <c r="L657" s="20"/>
      <c r="M657" s="20"/>
      <c r="N657" s="34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58"/>
      <c r="E658" s="20"/>
      <c r="F658" s="59"/>
      <c r="G658" s="20"/>
      <c r="H658" s="60"/>
      <c r="I658" s="60"/>
      <c r="J658" s="20"/>
      <c r="K658" s="20"/>
      <c r="L658" s="20"/>
      <c r="M658" s="20"/>
      <c r="N658" s="34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58"/>
      <c r="E659" s="20"/>
      <c r="F659" s="59"/>
      <c r="G659" s="20"/>
      <c r="H659" s="60"/>
      <c r="I659" s="60"/>
      <c r="J659" s="20"/>
      <c r="K659" s="20"/>
      <c r="L659" s="20"/>
      <c r="M659" s="20"/>
      <c r="N659" s="34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58"/>
      <c r="E660" s="20"/>
      <c r="F660" s="59"/>
      <c r="G660" s="20"/>
      <c r="H660" s="60"/>
      <c r="I660" s="60"/>
      <c r="J660" s="20"/>
      <c r="K660" s="20"/>
      <c r="L660" s="20"/>
      <c r="M660" s="20"/>
      <c r="N660" s="34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58"/>
      <c r="E661" s="20"/>
      <c r="F661" s="59"/>
      <c r="G661" s="20"/>
      <c r="H661" s="60"/>
      <c r="I661" s="60"/>
      <c r="J661" s="20"/>
      <c r="K661" s="20"/>
      <c r="L661" s="20"/>
      <c r="M661" s="20"/>
      <c r="N661" s="34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58"/>
      <c r="E662" s="20"/>
      <c r="F662" s="59"/>
      <c r="G662" s="20"/>
      <c r="H662" s="60"/>
      <c r="I662" s="60"/>
      <c r="J662" s="20"/>
      <c r="K662" s="20"/>
      <c r="L662" s="20"/>
      <c r="M662" s="20"/>
      <c r="N662" s="34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58"/>
      <c r="E663" s="20"/>
      <c r="F663" s="59"/>
      <c r="G663" s="20"/>
      <c r="H663" s="60"/>
      <c r="I663" s="60"/>
      <c r="J663" s="20"/>
      <c r="K663" s="20"/>
      <c r="L663" s="20"/>
      <c r="M663" s="20"/>
      <c r="N663" s="34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58"/>
      <c r="E664" s="20"/>
      <c r="F664" s="59"/>
      <c r="G664" s="20"/>
      <c r="H664" s="60"/>
      <c r="I664" s="60"/>
      <c r="J664" s="20"/>
      <c r="K664" s="20"/>
      <c r="L664" s="20"/>
      <c r="M664" s="20"/>
      <c r="N664" s="34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58"/>
      <c r="E665" s="20"/>
      <c r="F665" s="59"/>
      <c r="G665" s="20"/>
      <c r="H665" s="60"/>
      <c r="I665" s="60"/>
      <c r="J665" s="20"/>
      <c r="K665" s="20"/>
      <c r="L665" s="20"/>
      <c r="M665" s="20"/>
      <c r="N665" s="34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58"/>
      <c r="E666" s="20"/>
      <c r="F666" s="59"/>
      <c r="G666" s="20"/>
      <c r="H666" s="60"/>
      <c r="I666" s="60"/>
      <c r="J666" s="20"/>
      <c r="K666" s="20"/>
      <c r="L666" s="20"/>
      <c r="M666" s="20"/>
      <c r="N666" s="34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58"/>
      <c r="E667" s="20"/>
      <c r="F667" s="59"/>
      <c r="G667" s="20"/>
      <c r="H667" s="60"/>
      <c r="I667" s="60"/>
      <c r="J667" s="20"/>
      <c r="K667" s="20"/>
      <c r="L667" s="20"/>
      <c r="M667" s="20"/>
      <c r="N667" s="34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58"/>
      <c r="E668" s="20"/>
      <c r="F668" s="59"/>
      <c r="G668" s="20"/>
      <c r="H668" s="60"/>
      <c r="I668" s="60"/>
      <c r="J668" s="20"/>
      <c r="K668" s="20"/>
      <c r="L668" s="20"/>
      <c r="M668" s="20"/>
      <c r="N668" s="34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58"/>
      <c r="E669" s="20"/>
      <c r="F669" s="59"/>
      <c r="G669" s="20"/>
      <c r="H669" s="60"/>
      <c r="I669" s="60"/>
      <c r="J669" s="20"/>
      <c r="K669" s="20"/>
      <c r="L669" s="20"/>
      <c r="M669" s="20"/>
      <c r="N669" s="34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58"/>
      <c r="E670" s="20"/>
      <c r="F670" s="59"/>
      <c r="G670" s="20"/>
      <c r="H670" s="60"/>
      <c r="I670" s="60"/>
      <c r="J670" s="20"/>
      <c r="K670" s="20"/>
      <c r="L670" s="20"/>
      <c r="M670" s="20"/>
      <c r="N670" s="34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58"/>
      <c r="E671" s="20"/>
      <c r="F671" s="59"/>
      <c r="G671" s="20"/>
      <c r="H671" s="60"/>
      <c r="I671" s="60"/>
      <c r="J671" s="20"/>
      <c r="K671" s="20"/>
      <c r="L671" s="20"/>
      <c r="M671" s="20"/>
      <c r="N671" s="34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58"/>
      <c r="E672" s="20"/>
      <c r="F672" s="59"/>
      <c r="G672" s="20"/>
      <c r="H672" s="60"/>
      <c r="I672" s="60"/>
      <c r="J672" s="20"/>
      <c r="K672" s="20"/>
      <c r="L672" s="20"/>
      <c r="M672" s="20"/>
      <c r="N672" s="34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58"/>
      <c r="E673" s="20"/>
      <c r="F673" s="59"/>
      <c r="G673" s="20"/>
      <c r="H673" s="60"/>
      <c r="I673" s="60"/>
      <c r="J673" s="20"/>
      <c r="K673" s="20"/>
      <c r="L673" s="20"/>
      <c r="M673" s="20"/>
      <c r="N673" s="34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58"/>
      <c r="E674" s="20"/>
      <c r="F674" s="59"/>
      <c r="G674" s="20"/>
      <c r="H674" s="60"/>
      <c r="I674" s="60"/>
      <c r="J674" s="20"/>
      <c r="K674" s="20"/>
      <c r="L674" s="20"/>
      <c r="M674" s="20"/>
      <c r="N674" s="34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58"/>
      <c r="E675" s="20"/>
      <c r="F675" s="59"/>
      <c r="G675" s="20"/>
      <c r="H675" s="60"/>
      <c r="I675" s="60"/>
      <c r="J675" s="20"/>
      <c r="K675" s="20"/>
      <c r="L675" s="20"/>
      <c r="M675" s="20"/>
      <c r="N675" s="34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58"/>
      <c r="E676" s="20"/>
      <c r="F676" s="59"/>
      <c r="G676" s="20"/>
      <c r="H676" s="60"/>
      <c r="I676" s="60"/>
      <c r="J676" s="20"/>
      <c r="K676" s="20"/>
      <c r="L676" s="20"/>
      <c r="M676" s="20"/>
      <c r="N676" s="34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58"/>
      <c r="E677" s="20"/>
      <c r="F677" s="59"/>
      <c r="G677" s="20"/>
      <c r="H677" s="60"/>
      <c r="I677" s="60"/>
      <c r="J677" s="20"/>
      <c r="K677" s="20"/>
      <c r="L677" s="20"/>
      <c r="M677" s="20"/>
      <c r="N677" s="34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58"/>
      <c r="E678" s="20"/>
      <c r="F678" s="59"/>
      <c r="G678" s="20"/>
      <c r="H678" s="60"/>
      <c r="I678" s="60"/>
      <c r="J678" s="20"/>
      <c r="K678" s="20"/>
      <c r="L678" s="20"/>
      <c r="M678" s="20"/>
      <c r="N678" s="34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58"/>
      <c r="E679" s="20"/>
      <c r="F679" s="59"/>
      <c r="G679" s="20"/>
      <c r="H679" s="60"/>
      <c r="I679" s="60"/>
      <c r="J679" s="20"/>
      <c r="K679" s="20"/>
      <c r="L679" s="20"/>
      <c r="M679" s="20"/>
      <c r="N679" s="34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58"/>
      <c r="E680" s="20"/>
      <c r="F680" s="59"/>
      <c r="G680" s="20"/>
      <c r="H680" s="60"/>
      <c r="I680" s="60"/>
      <c r="J680" s="20"/>
      <c r="K680" s="20"/>
      <c r="L680" s="20"/>
      <c r="M680" s="20"/>
      <c r="N680" s="34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58"/>
      <c r="E681" s="20"/>
      <c r="F681" s="59"/>
      <c r="G681" s="20"/>
      <c r="H681" s="60"/>
      <c r="I681" s="60"/>
      <c r="J681" s="20"/>
      <c r="K681" s="20"/>
      <c r="L681" s="20"/>
      <c r="M681" s="20"/>
      <c r="N681" s="34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58"/>
      <c r="E682" s="20"/>
      <c r="F682" s="59"/>
      <c r="G682" s="20"/>
      <c r="H682" s="60"/>
      <c r="I682" s="60"/>
      <c r="J682" s="20"/>
      <c r="K682" s="20"/>
      <c r="L682" s="20"/>
      <c r="M682" s="20"/>
      <c r="N682" s="34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58"/>
      <c r="E683" s="20"/>
      <c r="F683" s="59"/>
      <c r="G683" s="20"/>
      <c r="H683" s="60"/>
      <c r="I683" s="60"/>
      <c r="J683" s="20"/>
      <c r="K683" s="20"/>
      <c r="L683" s="20"/>
      <c r="M683" s="20"/>
      <c r="N683" s="34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58"/>
      <c r="E684" s="20"/>
      <c r="F684" s="59"/>
      <c r="G684" s="20"/>
      <c r="H684" s="60"/>
      <c r="I684" s="60"/>
      <c r="J684" s="20"/>
      <c r="K684" s="20"/>
      <c r="L684" s="20"/>
      <c r="M684" s="20"/>
      <c r="N684" s="34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58"/>
      <c r="E685" s="20"/>
      <c r="F685" s="59"/>
      <c r="G685" s="20"/>
      <c r="H685" s="60"/>
      <c r="I685" s="60"/>
      <c r="J685" s="20"/>
      <c r="K685" s="20"/>
      <c r="L685" s="20"/>
      <c r="M685" s="20"/>
      <c r="N685" s="34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58"/>
      <c r="E686" s="20"/>
      <c r="F686" s="59"/>
      <c r="G686" s="20"/>
      <c r="H686" s="60"/>
      <c r="I686" s="60"/>
      <c r="J686" s="20"/>
      <c r="K686" s="20"/>
      <c r="L686" s="20"/>
      <c r="M686" s="20"/>
      <c r="N686" s="34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58"/>
      <c r="E687" s="20"/>
      <c r="F687" s="59"/>
      <c r="G687" s="20"/>
      <c r="H687" s="60"/>
      <c r="I687" s="60"/>
      <c r="J687" s="20"/>
      <c r="K687" s="20"/>
      <c r="L687" s="20"/>
      <c r="M687" s="20"/>
      <c r="N687" s="34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58"/>
      <c r="E688" s="20"/>
      <c r="F688" s="59"/>
      <c r="G688" s="20"/>
      <c r="H688" s="60"/>
      <c r="I688" s="60"/>
      <c r="J688" s="20"/>
      <c r="K688" s="20"/>
      <c r="L688" s="20"/>
      <c r="M688" s="20"/>
      <c r="N688" s="34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58"/>
      <c r="E689" s="20"/>
      <c r="F689" s="59"/>
      <c r="G689" s="20"/>
      <c r="H689" s="60"/>
      <c r="I689" s="60"/>
      <c r="J689" s="20"/>
      <c r="K689" s="20"/>
      <c r="L689" s="20"/>
      <c r="M689" s="20"/>
      <c r="N689" s="34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58"/>
      <c r="E690" s="20"/>
      <c r="F690" s="59"/>
      <c r="G690" s="20"/>
      <c r="H690" s="60"/>
      <c r="I690" s="60"/>
      <c r="J690" s="20"/>
      <c r="K690" s="20"/>
      <c r="L690" s="20"/>
      <c r="M690" s="20"/>
      <c r="N690" s="34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61"/>
      <c r="B691" s="61"/>
      <c r="C691" s="61"/>
      <c r="D691" s="62"/>
      <c r="E691" s="61"/>
      <c r="F691" s="63"/>
      <c r="G691" s="61"/>
      <c r="H691" s="64"/>
      <c r="I691" s="64"/>
      <c r="J691" s="65"/>
      <c r="K691" s="61"/>
      <c r="L691" s="61"/>
      <c r="M691" s="61"/>
      <c r="N691" s="66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61"/>
      <c r="D692" s="62"/>
      <c r="E692" s="61"/>
      <c r="F692" s="63"/>
      <c r="G692" s="61"/>
      <c r="H692" s="64"/>
      <c r="I692" s="64"/>
      <c r="J692" s="65"/>
      <c r="K692" s="61"/>
      <c r="L692" s="61"/>
      <c r="M692" s="61"/>
      <c r="N692" s="66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61"/>
      <c r="D693" s="62"/>
      <c r="E693" s="61"/>
      <c r="F693" s="63"/>
      <c r="G693" s="61"/>
      <c r="H693" s="64"/>
      <c r="I693" s="64"/>
      <c r="J693" s="65"/>
      <c r="K693" s="61"/>
      <c r="L693" s="61"/>
      <c r="M693" s="61"/>
      <c r="N693" s="66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61"/>
      <c r="D694" s="62"/>
      <c r="E694" s="61"/>
      <c r="F694" s="63"/>
      <c r="G694" s="61"/>
      <c r="H694" s="64"/>
      <c r="I694" s="64"/>
      <c r="J694" s="65"/>
      <c r="K694" s="61"/>
      <c r="L694" s="61"/>
      <c r="M694" s="61"/>
      <c r="N694" s="66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61"/>
      <c r="D695" s="62"/>
      <c r="E695" s="61"/>
      <c r="F695" s="63"/>
      <c r="G695" s="61"/>
      <c r="H695" s="64"/>
      <c r="I695" s="64"/>
      <c r="J695" s="65"/>
      <c r="K695" s="61"/>
      <c r="L695" s="61"/>
      <c r="M695" s="61"/>
      <c r="N695" s="66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61"/>
      <c r="D696" s="62"/>
      <c r="E696" s="61"/>
      <c r="F696" s="63"/>
      <c r="G696" s="61"/>
      <c r="H696" s="64"/>
      <c r="I696" s="64"/>
      <c r="J696" s="65"/>
      <c r="K696" s="61"/>
      <c r="L696" s="61"/>
      <c r="M696" s="61"/>
      <c r="N696" s="66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61"/>
      <c r="D697" s="62"/>
      <c r="E697" s="61"/>
      <c r="F697" s="63"/>
      <c r="G697" s="61"/>
      <c r="H697" s="64"/>
      <c r="I697" s="64"/>
      <c r="J697" s="65"/>
      <c r="K697" s="61"/>
      <c r="L697" s="61"/>
      <c r="M697" s="61"/>
      <c r="N697" s="66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61"/>
      <c r="D698" s="62"/>
      <c r="E698" s="61"/>
      <c r="F698" s="63"/>
      <c r="G698" s="61"/>
      <c r="H698" s="64"/>
      <c r="I698" s="64"/>
      <c r="J698" s="65"/>
      <c r="K698" s="61"/>
      <c r="L698" s="61"/>
      <c r="M698" s="61"/>
      <c r="N698" s="66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61"/>
      <c r="D699" s="62"/>
      <c r="E699" s="61"/>
      <c r="F699" s="63"/>
      <c r="G699" s="61"/>
      <c r="H699" s="64"/>
      <c r="I699" s="64"/>
      <c r="J699" s="65"/>
      <c r="K699" s="61"/>
      <c r="L699" s="61"/>
      <c r="M699" s="61"/>
      <c r="N699" s="66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61"/>
      <c r="D700" s="62"/>
      <c r="E700" s="61"/>
      <c r="F700" s="63"/>
      <c r="G700" s="61"/>
      <c r="H700" s="64"/>
      <c r="I700" s="64"/>
      <c r="J700" s="65"/>
      <c r="K700" s="61"/>
      <c r="L700" s="61"/>
      <c r="M700" s="61"/>
      <c r="N700" s="66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61"/>
      <c r="D701" s="62"/>
      <c r="E701" s="61"/>
      <c r="F701" s="63"/>
      <c r="G701" s="61"/>
      <c r="H701" s="64"/>
      <c r="I701" s="64"/>
      <c r="J701" s="65"/>
      <c r="K701" s="61"/>
      <c r="L701" s="61"/>
      <c r="M701" s="61"/>
      <c r="N701" s="66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61"/>
      <c r="D702" s="62"/>
      <c r="E702" s="61"/>
      <c r="F702" s="63"/>
      <c r="G702" s="61"/>
      <c r="H702" s="64"/>
      <c r="I702" s="64"/>
      <c r="J702" s="65"/>
      <c r="K702" s="61"/>
      <c r="L702" s="61"/>
      <c r="M702" s="61"/>
      <c r="N702" s="66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61"/>
      <c r="D703" s="62"/>
      <c r="E703" s="61"/>
      <c r="F703" s="63"/>
      <c r="G703" s="61"/>
      <c r="H703" s="64"/>
      <c r="I703" s="64"/>
      <c r="J703" s="65"/>
      <c r="K703" s="61"/>
      <c r="L703" s="61"/>
      <c r="M703" s="61"/>
      <c r="N703" s="66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61"/>
      <c r="D704" s="62"/>
      <c r="E704" s="61"/>
      <c r="F704" s="63"/>
      <c r="G704" s="61"/>
      <c r="H704" s="64"/>
      <c r="I704" s="64"/>
      <c r="J704" s="65"/>
      <c r="K704" s="61"/>
      <c r="L704" s="61"/>
      <c r="M704" s="61"/>
      <c r="N704" s="66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61"/>
      <c r="D705" s="62"/>
      <c r="E705" s="61"/>
      <c r="F705" s="63"/>
      <c r="G705" s="61"/>
      <c r="H705" s="64"/>
      <c r="I705" s="64"/>
      <c r="J705" s="65"/>
      <c r="K705" s="61"/>
      <c r="L705" s="61"/>
      <c r="M705" s="61"/>
      <c r="N705" s="66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61"/>
      <c r="D706" s="62"/>
      <c r="E706" s="61"/>
      <c r="F706" s="63"/>
      <c r="G706" s="61"/>
      <c r="H706" s="64"/>
      <c r="I706" s="64"/>
      <c r="J706" s="65"/>
      <c r="K706" s="61"/>
      <c r="L706" s="61"/>
      <c r="M706" s="61"/>
      <c r="N706" s="66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61"/>
      <c r="D707" s="62"/>
      <c r="E707" s="61"/>
      <c r="F707" s="63"/>
      <c r="G707" s="61"/>
      <c r="H707" s="64"/>
      <c r="I707" s="64"/>
      <c r="J707" s="65"/>
      <c r="K707" s="61"/>
      <c r="L707" s="61"/>
      <c r="M707" s="61"/>
      <c r="N707" s="66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61"/>
      <c r="D708" s="62"/>
      <c r="E708" s="61"/>
      <c r="F708" s="63"/>
      <c r="G708" s="61"/>
      <c r="H708" s="64"/>
      <c r="I708" s="64"/>
      <c r="J708" s="65"/>
      <c r="K708" s="61"/>
      <c r="L708" s="61"/>
      <c r="M708" s="61"/>
      <c r="N708" s="66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61"/>
      <c r="D709" s="62"/>
      <c r="E709" s="61"/>
      <c r="F709" s="63"/>
      <c r="G709" s="61"/>
      <c r="H709" s="64"/>
      <c r="I709" s="64"/>
      <c r="J709" s="65"/>
      <c r="K709" s="61"/>
      <c r="L709" s="61"/>
      <c r="M709" s="61"/>
      <c r="N709" s="66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61"/>
      <c r="D710" s="62"/>
      <c r="E710" s="61"/>
      <c r="F710" s="63"/>
      <c r="G710" s="61"/>
      <c r="H710" s="64"/>
      <c r="I710" s="64"/>
      <c r="J710" s="65"/>
      <c r="K710" s="61"/>
      <c r="L710" s="61"/>
      <c r="M710" s="61"/>
      <c r="N710" s="66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61"/>
      <c r="D711" s="62"/>
      <c r="E711" s="61"/>
      <c r="F711" s="63"/>
      <c r="G711" s="61"/>
      <c r="H711" s="64"/>
      <c r="I711" s="64"/>
      <c r="J711" s="65"/>
      <c r="K711" s="61"/>
      <c r="L711" s="61"/>
      <c r="M711" s="61"/>
      <c r="N711" s="66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61"/>
      <c r="D712" s="62"/>
      <c r="E712" s="61"/>
      <c r="F712" s="63"/>
      <c r="G712" s="61"/>
      <c r="H712" s="64"/>
      <c r="I712" s="64"/>
      <c r="J712" s="65"/>
      <c r="K712" s="61"/>
      <c r="L712" s="61"/>
      <c r="M712" s="61"/>
      <c r="N712" s="66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61"/>
      <c r="D713" s="62"/>
      <c r="E713" s="61"/>
      <c r="F713" s="63"/>
      <c r="G713" s="61"/>
      <c r="H713" s="64"/>
      <c r="I713" s="64"/>
      <c r="J713" s="65"/>
      <c r="K713" s="61"/>
      <c r="L713" s="61"/>
      <c r="M713" s="61"/>
      <c r="N713" s="66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61"/>
      <c r="D714" s="62"/>
      <c r="E714" s="61"/>
      <c r="F714" s="63"/>
      <c r="G714" s="61"/>
      <c r="H714" s="64"/>
      <c r="I714" s="64"/>
      <c r="J714" s="65"/>
      <c r="K714" s="61"/>
      <c r="L714" s="61"/>
      <c r="M714" s="61"/>
      <c r="N714" s="66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61"/>
      <c r="D715" s="62"/>
      <c r="E715" s="61"/>
      <c r="F715" s="63"/>
      <c r="G715" s="61"/>
      <c r="H715" s="64"/>
      <c r="I715" s="64"/>
      <c r="J715" s="65"/>
      <c r="K715" s="61"/>
      <c r="L715" s="61"/>
      <c r="M715" s="61"/>
      <c r="N715" s="66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61"/>
      <c r="D716" s="62"/>
      <c r="E716" s="61"/>
      <c r="F716" s="63"/>
      <c r="G716" s="61"/>
      <c r="H716" s="64"/>
      <c r="I716" s="64"/>
      <c r="J716" s="65"/>
      <c r="K716" s="61"/>
      <c r="L716" s="61"/>
      <c r="M716" s="61"/>
      <c r="N716" s="66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61"/>
      <c r="D717" s="62"/>
      <c r="E717" s="61"/>
      <c r="F717" s="63"/>
      <c r="G717" s="61"/>
      <c r="H717" s="64"/>
      <c r="I717" s="64"/>
      <c r="J717" s="65"/>
      <c r="K717" s="61"/>
      <c r="L717" s="61"/>
      <c r="M717" s="61"/>
      <c r="N717" s="66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61"/>
      <c r="D718" s="62"/>
      <c r="E718" s="61"/>
      <c r="F718" s="63"/>
      <c r="G718" s="61"/>
      <c r="H718" s="64"/>
      <c r="I718" s="64"/>
      <c r="J718" s="65"/>
      <c r="K718" s="61"/>
      <c r="L718" s="61"/>
      <c r="M718" s="61"/>
      <c r="N718" s="66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61"/>
      <c r="D719" s="62"/>
      <c r="E719" s="61"/>
      <c r="F719" s="63"/>
      <c r="G719" s="61"/>
      <c r="H719" s="64"/>
      <c r="I719" s="64"/>
      <c r="J719" s="65"/>
      <c r="K719" s="61"/>
      <c r="L719" s="61"/>
      <c r="M719" s="61"/>
      <c r="N719" s="66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61"/>
      <c r="D720" s="62"/>
      <c r="E720" s="61"/>
      <c r="F720" s="63"/>
      <c r="G720" s="61"/>
      <c r="H720" s="64"/>
      <c r="I720" s="64"/>
      <c r="J720" s="65"/>
      <c r="K720" s="61"/>
      <c r="L720" s="61"/>
      <c r="M720" s="61"/>
      <c r="N720" s="66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61"/>
      <c r="D721" s="62"/>
      <c r="E721" s="61"/>
      <c r="F721" s="63"/>
      <c r="G721" s="61"/>
      <c r="H721" s="64"/>
      <c r="I721" s="64"/>
      <c r="J721" s="65"/>
      <c r="K721" s="61"/>
      <c r="L721" s="61"/>
      <c r="M721" s="61"/>
      <c r="N721" s="66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61"/>
      <c r="D722" s="62"/>
      <c r="E722" s="61"/>
      <c r="F722" s="63"/>
      <c r="G722" s="61"/>
      <c r="H722" s="64"/>
      <c r="I722" s="64"/>
      <c r="J722" s="65"/>
      <c r="K722" s="61"/>
      <c r="L722" s="61"/>
      <c r="M722" s="61"/>
      <c r="N722" s="66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61"/>
      <c r="D723" s="62"/>
      <c r="E723" s="61"/>
      <c r="F723" s="63"/>
      <c r="G723" s="61"/>
      <c r="H723" s="64"/>
      <c r="I723" s="64"/>
      <c r="J723" s="65"/>
      <c r="K723" s="61"/>
      <c r="L723" s="61"/>
      <c r="M723" s="61"/>
      <c r="N723" s="66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61"/>
      <c r="D724" s="62"/>
      <c r="E724" s="61"/>
      <c r="F724" s="63"/>
      <c r="G724" s="61"/>
      <c r="H724" s="64"/>
      <c r="I724" s="64"/>
      <c r="J724" s="65"/>
      <c r="K724" s="61"/>
      <c r="L724" s="61"/>
      <c r="M724" s="61"/>
      <c r="N724" s="66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61"/>
      <c r="D725" s="62"/>
      <c r="E725" s="61"/>
      <c r="F725" s="63"/>
      <c r="G725" s="61"/>
      <c r="H725" s="64"/>
      <c r="I725" s="64"/>
      <c r="J725" s="65"/>
      <c r="K725" s="61"/>
      <c r="L725" s="61"/>
      <c r="M725" s="61"/>
      <c r="N725" s="66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61"/>
      <c r="D726" s="62"/>
      <c r="E726" s="61"/>
      <c r="F726" s="63"/>
      <c r="G726" s="61"/>
      <c r="H726" s="64"/>
      <c r="I726" s="64"/>
      <c r="J726" s="65"/>
      <c r="K726" s="61"/>
      <c r="L726" s="61"/>
      <c r="M726" s="61"/>
      <c r="N726" s="66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61"/>
      <c r="D727" s="62"/>
      <c r="E727" s="61"/>
      <c r="F727" s="63"/>
      <c r="G727" s="61"/>
      <c r="H727" s="64"/>
      <c r="I727" s="64"/>
      <c r="J727" s="65"/>
      <c r="K727" s="61"/>
      <c r="L727" s="61"/>
      <c r="M727" s="61"/>
      <c r="N727" s="66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61"/>
      <c r="D728" s="62"/>
      <c r="E728" s="61"/>
      <c r="F728" s="63"/>
      <c r="G728" s="61"/>
      <c r="H728" s="64"/>
      <c r="I728" s="64"/>
      <c r="J728" s="65"/>
      <c r="K728" s="61"/>
      <c r="L728" s="61"/>
      <c r="M728" s="61"/>
      <c r="N728" s="66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61"/>
      <c r="D729" s="62"/>
      <c r="E729" s="61"/>
      <c r="F729" s="63"/>
      <c r="G729" s="61"/>
      <c r="H729" s="64"/>
      <c r="I729" s="64"/>
      <c r="J729" s="65"/>
      <c r="K729" s="61"/>
      <c r="L729" s="61"/>
      <c r="M729" s="61"/>
      <c r="N729" s="66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61"/>
      <c r="D730" s="62"/>
      <c r="E730" s="61"/>
      <c r="F730" s="63"/>
      <c r="G730" s="61"/>
      <c r="H730" s="64"/>
      <c r="I730" s="64"/>
      <c r="J730" s="65"/>
      <c r="K730" s="61"/>
      <c r="L730" s="61"/>
      <c r="M730" s="61"/>
      <c r="N730" s="66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61"/>
      <c r="D731" s="62"/>
      <c r="E731" s="61"/>
      <c r="F731" s="63"/>
      <c r="G731" s="61"/>
      <c r="H731" s="64"/>
      <c r="I731" s="64"/>
      <c r="J731" s="65"/>
      <c r="K731" s="61"/>
      <c r="L731" s="61"/>
      <c r="M731" s="61"/>
      <c r="N731" s="66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61"/>
      <c r="D732" s="62"/>
      <c r="E732" s="61"/>
      <c r="F732" s="63"/>
      <c r="G732" s="61"/>
      <c r="H732" s="64"/>
      <c r="I732" s="64"/>
      <c r="J732" s="65"/>
      <c r="K732" s="61"/>
      <c r="L732" s="61"/>
      <c r="M732" s="61"/>
      <c r="N732" s="66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61"/>
      <c r="D733" s="62"/>
      <c r="E733" s="61"/>
      <c r="F733" s="63"/>
      <c r="G733" s="61"/>
      <c r="H733" s="64"/>
      <c r="I733" s="64"/>
      <c r="J733" s="65"/>
      <c r="K733" s="61"/>
      <c r="L733" s="61"/>
      <c r="M733" s="61"/>
      <c r="N733" s="66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61"/>
      <c r="D734" s="62"/>
      <c r="E734" s="61"/>
      <c r="F734" s="63"/>
      <c r="G734" s="61"/>
      <c r="H734" s="64"/>
      <c r="I734" s="64"/>
      <c r="J734" s="65"/>
      <c r="K734" s="61"/>
      <c r="L734" s="61"/>
      <c r="M734" s="61"/>
      <c r="N734" s="66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61"/>
      <c r="D735" s="62"/>
      <c r="E735" s="61"/>
      <c r="F735" s="63"/>
      <c r="G735" s="61"/>
      <c r="H735" s="64"/>
      <c r="I735" s="64"/>
      <c r="J735" s="65"/>
      <c r="K735" s="61"/>
      <c r="L735" s="61"/>
      <c r="M735" s="61"/>
      <c r="N735" s="66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61"/>
      <c r="D736" s="62"/>
      <c r="E736" s="61"/>
      <c r="F736" s="63"/>
      <c r="G736" s="61"/>
      <c r="H736" s="64"/>
      <c r="I736" s="64"/>
      <c r="J736" s="65"/>
      <c r="K736" s="61"/>
      <c r="L736" s="61"/>
      <c r="M736" s="61"/>
      <c r="N736" s="66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61"/>
      <c r="D737" s="62"/>
      <c r="E737" s="61"/>
      <c r="F737" s="63"/>
      <c r="G737" s="61"/>
      <c r="H737" s="64"/>
      <c r="I737" s="64"/>
      <c r="J737" s="65"/>
      <c r="K737" s="61"/>
      <c r="L737" s="61"/>
      <c r="M737" s="61"/>
      <c r="N737" s="66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61"/>
      <c r="D738" s="62"/>
      <c r="E738" s="61"/>
      <c r="F738" s="63"/>
      <c r="G738" s="61"/>
      <c r="H738" s="64"/>
      <c r="I738" s="64"/>
      <c r="J738" s="65"/>
      <c r="K738" s="61"/>
      <c r="L738" s="61"/>
      <c r="M738" s="61"/>
      <c r="N738" s="66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61"/>
      <c r="D739" s="62"/>
      <c r="E739" s="61"/>
      <c r="F739" s="63"/>
      <c r="G739" s="61"/>
      <c r="H739" s="64"/>
      <c r="I739" s="64"/>
      <c r="J739" s="65"/>
      <c r="K739" s="61"/>
      <c r="L739" s="61"/>
      <c r="M739" s="61"/>
      <c r="N739" s="66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61"/>
      <c r="D740" s="62"/>
      <c r="E740" s="61"/>
      <c r="F740" s="63"/>
      <c r="G740" s="61"/>
      <c r="H740" s="64"/>
      <c r="I740" s="64"/>
      <c r="J740" s="65"/>
      <c r="K740" s="61"/>
      <c r="L740" s="61"/>
      <c r="M740" s="61"/>
      <c r="N740" s="66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61"/>
      <c r="D741" s="62"/>
      <c r="E741" s="61"/>
      <c r="F741" s="63"/>
      <c r="G741" s="61"/>
      <c r="H741" s="64"/>
      <c r="I741" s="64"/>
      <c r="J741" s="65"/>
      <c r="K741" s="61"/>
      <c r="L741" s="61"/>
      <c r="M741" s="61"/>
      <c r="N741" s="66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61"/>
      <c r="D742" s="62"/>
      <c r="E742" s="61"/>
      <c r="F742" s="63"/>
      <c r="G742" s="61"/>
      <c r="H742" s="64"/>
      <c r="I742" s="64"/>
      <c r="J742" s="65"/>
      <c r="K742" s="61"/>
      <c r="L742" s="61"/>
      <c r="M742" s="61"/>
      <c r="N742" s="66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61"/>
      <c r="D743" s="62"/>
      <c r="E743" s="61"/>
      <c r="F743" s="63"/>
      <c r="G743" s="61"/>
      <c r="H743" s="64"/>
      <c r="I743" s="64"/>
      <c r="J743" s="65"/>
      <c r="K743" s="61"/>
      <c r="L743" s="61"/>
      <c r="M743" s="61"/>
      <c r="N743" s="66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</sheetData>
  <autoFilter ref="$A$1:$P$645">
    <filterColumn colId="1">
      <filters blank="1">
        <filter val="HO MINH ANH"/>
        <filter val="PHAN THI UYEN THUY"/>
        <filter val="NGO HOANG DUY"/>
        <filter val="PHAN MINH TRUNG"/>
        <filter val="TRAN NGOC THAO VY"/>
        <filter val="TRUONG THI TOC"/>
        <filter val="DO PHU DUC"/>
        <filter val="CAO THI BICH KHUONG"/>
        <filter val="TRAN MINH TAN"/>
        <filter val="NGUYEN MINH HANG"/>
        <filter val="NGUYEN QUOC TUAN"/>
        <filter val="NGUYEN THI QUYNH HUO"/>
        <filter val="TRAN DUC TOAN"/>
        <filter val="HO HOANG HAI"/>
        <filter val="NGUYEN THI MY NUONG"/>
        <filter val="DUONG HUYNH MAI"/>
        <filter val="LE NGUYEN TRAM ANH"/>
        <filter val="QUANG TRONG HAU"/>
        <filter val="HUYNH PHI LONG"/>
        <filter val="NGUYEN TRAN THANH TH"/>
        <filter val="NGUYEN NGA UYEN CHI"/>
      </filters>
    </filterColumn>
    <sortState ref="A1:P645">
      <sortCondition ref="B1:B645"/>
      <sortCondition ref="D1:D645"/>
      <sortCondition descending="1" sortBy="cellColor" ref="J1:J645" dxfId="1"/>
      <sortCondition ref="C1:C645"/>
      <sortCondition ref="N1:N64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0"/>
    <col customWidth="1" min="2" max="2" width="30.25"/>
    <col customWidth="1" min="3" max="3" width="19.63"/>
    <col customWidth="1" min="4" max="8" width="6.88"/>
    <col customWidth="1" min="9" max="9" width="9.13"/>
    <col customWidth="1" hidden="1" min="10" max="10" width="30.25"/>
    <col customWidth="1" min="11" max="13" width="6.0"/>
    <col customWidth="1" min="14" max="14" width="7.88"/>
    <col customWidth="1" min="15" max="17" width="5.63"/>
    <col customWidth="1" min="18" max="18" width="7.88"/>
    <col customWidth="1" min="19" max="20" width="8.88"/>
    <col customWidth="1" min="21" max="24" width="6.13"/>
  </cols>
  <sheetData>
    <row r="1" ht="29.25" customHeight="1">
      <c r="A1" s="1" t="s">
        <v>0</v>
      </c>
      <c r="B1" s="3"/>
      <c r="C1" s="3"/>
      <c r="D1" s="5" t="s">
        <v>4</v>
      </c>
      <c r="E1" s="7"/>
      <c r="F1" s="7"/>
      <c r="G1" s="7"/>
      <c r="H1" s="8"/>
      <c r="I1" s="3"/>
      <c r="J1" s="3"/>
      <c r="K1" s="10"/>
      <c r="L1" s="10"/>
      <c r="M1" s="10"/>
      <c r="N1" s="10"/>
      <c r="O1" s="10"/>
      <c r="P1" s="10"/>
      <c r="Q1" s="10"/>
      <c r="R1" s="10"/>
      <c r="S1" s="10"/>
      <c r="T1" s="10"/>
      <c r="U1" s="12"/>
      <c r="V1" s="12"/>
      <c r="W1" s="12"/>
      <c r="X1" s="12"/>
    </row>
    <row r="2">
      <c r="A2" s="14" t="s">
        <v>12</v>
      </c>
      <c r="B2" s="16" t="s">
        <v>14</v>
      </c>
      <c r="C2" s="16" t="s">
        <v>3</v>
      </c>
      <c r="D2" s="17" t="s">
        <v>9</v>
      </c>
      <c r="E2" s="17" t="s">
        <v>10</v>
      </c>
      <c r="F2" s="17" t="s">
        <v>11</v>
      </c>
      <c r="G2" s="17" t="s">
        <v>13</v>
      </c>
      <c r="H2" s="17" t="s">
        <v>17</v>
      </c>
      <c r="I2" s="19" t="s">
        <v>19</v>
      </c>
      <c r="J2" s="21" t="s">
        <v>18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4"/>
      <c r="V2" s="24"/>
      <c r="W2" s="24"/>
      <c r="X2" s="24"/>
    </row>
    <row r="3">
      <c r="A3" s="25">
        <v>1.0</v>
      </c>
      <c r="B3" s="27" t="s">
        <v>21</v>
      </c>
      <c r="C3" s="27" t="s">
        <v>23</v>
      </c>
      <c r="D3" s="29">
        <f>sumif('CHẤM VÂN TAY'!B:B,B3,'CHẤM VÂN TAY'!H:H)</f>
        <v>0</v>
      </c>
      <c r="E3" s="29">
        <f>SUMIF('CHẤM VÂN TAY'!B:B,B3,'CHẤM VÂN TAY'!I:I)</f>
        <v>0</v>
      </c>
      <c r="F3" s="29">
        <f>SUMIF('CHẤM VÂN TAY'!B:B,B3,'CHẤM VÂN TAY'!J:J)</f>
        <v>0</v>
      </c>
      <c r="G3" s="29">
        <f>SUMIF('CHẤM VÂN TAY'!B:B,B3,'CHẤM VÂN TAY'!K:K)</f>
        <v>0</v>
      </c>
      <c r="H3" s="29">
        <f>SUMIF('CHẤM VÂN TAY'!B:B,B3,'CHẤM VÂN TAY'!L:L)</f>
        <v>0</v>
      </c>
      <c r="I3" s="32">
        <f>SUMIF('CHẤM VÂN TAY'!B:B,B3,'CHẤM VÂN TAY'!M:M)</f>
        <v>0</v>
      </c>
      <c r="J3" s="33" t="s">
        <v>25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5"/>
      <c r="V3" s="35"/>
      <c r="W3" s="35"/>
      <c r="X3" s="35"/>
    </row>
    <row r="4">
      <c r="A4" s="36">
        <v>2.0</v>
      </c>
      <c r="B4" s="27" t="s">
        <v>26</v>
      </c>
      <c r="C4" s="27" t="s">
        <v>23</v>
      </c>
      <c r="D4" s="29">
        <f>sumif('CHẤM VÂN TAY'!B:B,B4,'CHẤM VÂN TAY'!H:H)</f>
        <v>17</v>
      </c>
      <c r="E4" s="29">
        <f>SUMIF('CHẤM VÂN TAY'!B:B,B4,'CHẤM VÂN TAY'!I:I)</f>
        <v>0</v>
      </c>
      <c r="F4" s="29">
        <f>SUMIF('CHẤM VÂN TAY'!B:B,B4,'CHẤM VÂN TAY'!J:J)</f>
        <v>57</v>
      </c>
      <c r="G4" s="29">
        <f>SUMIF('CHẤM VÂN TAY'!B:B,B4,'CHẤM VÂN TAY'!K:K)</f>
        <v>0</v>
      </c>
      <c r="H4" s="29">
        <f>SUMIF('CHẤM VÂN TAY'!B:B,B4,'CHẤM VÂN TAY'!L:L)</f>
        <v>1</v>
      </c>
      <c r="I4" s="32">
        <f>SUMIF('CHẤM VÂN TAY'!B:B,B4,'CHẤM VÂN TAY'!M:M)</f>
        <v>1</v>
      </c>
      <c r="J4" s="37"/>
      <c r="K4" s="34"/>
      <c r="L4" s="34"/>
      <c r="M4" s="34"/>
      <c r="N4" s="34"/>
      <c r="O4" s="34"/>
      <c r="P4" s="34"/>
      <c r="Q4" s="34"/>
      <c r="R4" s="34"/>
      <c r="S4" s="34"/>
      <c r="T4" s="34"/>
      <c r="U4" s="35"/>
      <c r="V4" s="35"/>
      <c r="W4" s="35"/>
      <c r="X4" s="35"/>
    </row>
    <row r="5">
      <c r="A5" s="25">
        <v>3.0</v>
      </c>
      <c r="B5" s="38" t="s">
        <v>27</v>
      </c>
      <c r="C5" s="27" t="s">
        <v>23</v>
      </c>
      <c r="D5" s="29">
        <f>sumif('CHẤM VÂN TAY'!B:B,B5,'CHẤM VÂN TAY'!H:H)</f>
        <v>2</v>
      </c>
      <c r="E5" s="29">
        <f>SUMIF('CHẤM VÂN TAY'!B:B,B5,'CHẤM VÂN TAY'!I:I)</f>
        <v>0</v>
      </c>
      <c r="F5" s="29">
        <f>SUMIF('CHẤM VÂN TAY'!B:B,B5,'CHẤM VÂN TAY'!J:J)</f>
        <v>62</v>
      </c>
      <c r="G5" s="29">
        <f>SUMIF('CHẤM VÂN TAY'!B:B,B5,'CHẤM VÂN TAY'!K:K)</f>
        <v>0</v>
      </c>
      <c r="H5" s="29">
        <f>SUMIF('CHẤM VÂN TAY'!B:B,B5,'CHẤM VÂN TAY'!L:L)</f>
        <v>3</v>
      </c>
      <c r="I5" s="32">
        <f>SUMIF('CHẤM VÂN TAY'!B:B,B5,'CHẤM VÂN TAY'!M:M)</f>
        <v>3</v>
      </c>
      <c r="J5" s="33"/>
      <c r="K5" s="34"/>
      <c r="L5" s="34"/>
      <c r="M5" s="34"/>
      <c r="N5" s="34"/>
      <c r="O5" s="34"/>
      <c r="P5" s="34"/>
      <c r="Q5" s="34"/>
      <c r="R5" s="34"/>
      <c r="S5" s="34"/>
      <c r="T5" s="34"/>
      <c r="U5" s="35"/>
      <c r="V5" s="35"/>
      <c r="W5" s="35"/>
      <c r="X5" s="35"/>
    </row>
    <row r="6">
      <c r="A6" s="36">
        <v>4.0</v>
      </c>
      <c r="B6" s="42" t="s">
        <v>30</v>
      </c>
      <c r="C6" s="27" t="s">
        <v>23</v>
      </c>
      <c r="D6" s="29">
        <f>sumif('CHẤM VÂN TAY'!B:B,B6,'CHẤM VÂN TAY'!H:H)</f>
        <v>98</v>
      </c>
      <c r="E6" s="29">
        <f>SUMIF('CHẤM VÂN TAY'!B:B,B6,'CHẤM VÂN TAY'!I:I)</f>
        <v>0</v>
      </c>
      <c r="F6" s="29">
        <f>SUMIF('CHẤM VÂN TAY'!B:B,B6,'CHẤM VÂN TAY'!J:J)</f>
        <v>65</v>
      </c>
      <c r="G6" s="29">
        <f>SUMIF('CHẤM VÂN TAY'!B:B,B6,'CHẤM VÂN TAY'!K:K)</f>
        <v>0</v>
      </c>
      <c r="H6" s="29">
        <f>SUMIF('CHẤM VÂN TAY'!B:B,B6,'CHẤM VÂN TAY'!L:L)</f>
        <v>0</v>
      </c>
      <c r="I6" s="32">
        <f>SUMIF('CHẤM VÂN TAY'!B:B,B6,'CHẤM VÂN TAY'!M:M)</f>
        <v>4</v>
      </c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5"/>
      <c r="V6" s="35"/>
      <c r="W6" s="35"/>
      <c r="X6" s="35"/>
    </row>
    <row r="7">
      <c r="A7" s="25">
        <v>5.0</v>
      </c>
      <c r="B7" s="42" t="s">
        <v>31</v>
      </c>
      <c r="C7" s="27" t="s">
        <v>23</v>
      </c>
      <c r="D7" s="29">
        <f>sumif('CHẤM VÂN TAY'!B:B,B7,'CHẤM VÂN TAY'!H:H)</f>
        <v>76</v>
      </c>
      <c r="E7" s="29">
        <f>SUMIF('CHẤM VÂN TAY'!B:B,B7,'CHẤM VÂN TAY'!I:I)</f>
        <v>0</v>
      </c>
      <c r="F7" s="29">
        <f>SUMIF('CHẤM VÂN TAY'!B:B,B7,'CHẤM VÂN TAY'!J:J)</f>
        <v>69</v>
      </c>
      <c r="G7" s="29">
        <f>SUMIF('CHẤM VÂN TAY'!B:B,B7,'CHẤM VÂN TAY'!K:K)</f>
        <v>0</v>
      </c>
      <c r="H7" s="29">
        <f>SUMIF('CHẤM VÂN TAY'!B:B,B7,'CHẤM VÂN TAY'!L:L)</f>
        <v>0</v>
      </c>
      <c r="I7" s="32">
        <f>SUMIF('CHẤM VÂN TAY'!B:B,B7,'CHẤM VÂN TAY'!M:M)</f>
        <v>4</v>
      </c>
      <c r="J7" s="37"/>
      <c r="K7" s="34"/>
      <c r="L7" s="34"/>
      <c r="M7" s="34"/>
      <c r="N7" s="34"/>
      <c r="O7" s="34"/>
      <c r="P7" s="34"/>
      <c r="Q7" s="34"/>
      <c r="R7" s="34"/>
      <c r="S7" s="34"/>
      <c r="T7" s="34"/>
      <c r="U7" s="35"/>
      <c r="V7" s="35"/>
      <c r="W7" s="35"/>
      <c r="X7" s="35"/>
    </row>
    <row r="8">
      <c r="A8" s="36">
        <v>6.0</v>
      </c>
      <c r="B8" s="27" t="s">
        <v>34</v>
      </c>
      <c r="C8" s="27" t="s">
        <v>23</v>
      </c>
      <c r="D8" s="29">
        <f>sumif('CHẤM VÂN TAY'!B:B,B8,'CHẤM VÂN TAY'!H:H)</f>
        <v>0</v>
      </c>
      <c r="E8" s="29">
        <f>SUMIF('CHẤM VÂN TAY'!B:B,B8,'CHẤM VÂN TAY'!I:I)</f>
        <v>0</v>
      </c>
      <c r="F8" s="29">
        <f>SUMIF('CHẤM VÂN TAY'!B:B,B8,'CHẤM VÂN TAY'!J:J)</f>
        <v>29</v>
      </c>
      <c r="G8" s="29">
        <f>SUMIF('CHẤM VÂN TAY'!B:B,B8,'CHẤM VÂN TAY'!K:K)</f>
        <v>0</v>
      </c>
      <c r="H8" s="29">
        <f>SUMIF('CHẤM VÂN TAY'!B:B,B8,'CHẤM VÂN TAY'!L:L)</f>
        <v>0</v>
      </c>
      <c r="I8" s="32">
        <f>SUMIF('CHẤM VÂN TAY'!B:B,B8,'CHẤM VÂN TAY'!M:M)</f>
        <v>0</v>
      </c>
      <c r="J8" s="37"/>
      <c r="K8" s="49"/>
      <c r="L8" s="34"/>
      <c r="M8" s="34"/>
      <c r="N8" s="34"/>
      <c r="O8" s="34"/>
      <c r="P8" s="34"/>
      <c r="Q8" s="34"/>
      <c r="R8" s="34"/>
      <c r="S8" s="34"/>
      <c r="T8" s="34"/>
      <c r="U8" s="35"/>
      <c r="V8" s="35"/>
      <c r="W8" s="35"/>
      <c r="X8" s="35"/>
    </row>
    <row r="9">
      <c r="A9" s="25">
        <v>7.0</v>
      </c>
      <c r="B9" s="27" t="s">
        <v>37</v>
      </c>
      <c r="C9" s="27" t="s">
        <v>23</v>
      </c>
      <c r="D9" s="29">
        <f>sumif('CHẤM VÂN TAY'!B:B,B9,'CHẤM VÂN TAY'!H:H)</f>
        <v>0</v>
      </c>
      <c r="E9" s="29">
        <f>SUMIF('CHẤM VÂN TAY'!B:B,B9,'CHẤM VÂN TAY'!I:I)</f>
        <v>0</v>
      </c>
      <c r="F9" s="29">
        <f>SUMIF('CHẤM VÂN TAY'!B:B,B9,'CHẤM VÂN TAY'!J:J)</f>
        <v>27</v>
      </c>
      <c r="G9" s="29">
        <f>SUMIF('CHẤM VÂN TAY'!B:B,B9,'CHẤM VÂN TAY'!K:K)</f>
        <v>0</v>
      </c>
      <c r="H9" s="29">
        <f>SUMIF('CHẤM VÂN TAY'!B:B,B9,'CHẤM VÂN TAY'!L:L)</f>
        <v>0</v>
      </c>
      <c r="I9" s="32">
        <f>SUMIF('CHẤM VÂN TAY'!B:B,B9,'CHẤM VÂN TAY'!M:M)</f>
        <v>0</v>
      </c>
      <c r="J9" s="37"/>
      <c r="K9" s="49"/>
      <c r="L9" s="34"/>
      <c r="M9" s="34"/>
      <c r="N9" s="34"/>
      <c r="O9" s="34"/>
      <c r="P9" s="34"/>
      <c r="Q9" s="34"/>
      <c r="R9" s="34"/>
      <c r="S9" s="34"/>
      <c r="T9" s="34"/>
      <c r="U9" s="35"/>
      <c r="V9" s="35"/>
      <c r="W9" s="35"/>
      <c r="X9" s="35"/>
    </row>
    <row r="10">
      <c r="A10" s="36">
        <v>8.0</v>
      </c>
      <c r="B10" s="27" t="s">
        <v>40</v>
      </c>
      <c r="C10" s="27" t="s">
        <v>41</v>
      </c>
      <c r="D10" s="50">
        <f>sumif('CHẤM VÂN TAY'!B:B,B10,'CHẤM VÂN TAY'!H:H)</f>
        <v>1</v>
      </c>
      <c r="E10" s="50">
        <f>SUMIF('CHẤM VÂN TAY'!B:B,B10,'CHẤM VÂN TAY'!I:I)</f>
        <v>0</v>
      </c>
      <c r="F10" s="50">
        <f>SUMIF('CHẤM VÂN TAY'!B:B,B10,'CHẤM VÂN TAY'!J:J)</f>
        <v>12</v>
      </c>
      <c r="G10" s="50">
        <f>SUMIF('CHẤM VÂN TAY'!B:B,B10,'CHẤM VÂN TAY'!K:K)</f>
        <v>0</v>
      </c>
      <c r="H10" s="50">
        <f>SUMIF('CHẤM VÂN TAY'!B:B,B10,'CHẤM VÂN TAY'!L:L)</f>
        <v>0</v>
      </c>
      <c r="I10" s="32">
        <f>SUMIF('CHẤM VÂN TAY'!B:B,B10,'CHẤM VÂN TAY'!M:M)</f>
        <v>0</v>
      </c>
      <c r="J10" s="37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5"/>
      <c r="W10" s="35"/>
      <c r="X10" s="35"/>
    </row>
    <row r="11">
      <c r="A11" s="25">
        <v>9.0</v>
      </c>
      <c r="B11" s="38" t="s">
        <v>44</v>
      </c>
      <c r="C11" s="27" t="s">
        <v>45</v>
      </c>
      <c r="D11" s="50">
        <f>sumif('CHẤM VÂN TAY'!B:B,B11,'CHẤM VÂN TAY'!H:H)</f>
        <v>1</v>
      </c>
      <c r="E11" s="50">
        <f>SUMIF('CHẤM VÂN TAY'!B:B,B11,'CHẤM VÂN TAY'!I:I)</f>
        <v>0</v>
      </c>
      <c r="F11" s="50">
        <f>SUMIF('CHẤM VÂN TAY'!B:B,B11,'CHẤM VÂN TAY'!J:J)</f>
        <v>60</v>
      </c>
      <c r="G11" s="50">
        <f>SUMIF('CHẤM VÂN TAY'!B:B,B11,'CHẤM VÂN TAY'!K:K)</f>
        <v>0</v>
      </c>
      <c r="H11" s="50">
        <f>SUMIF('CHẤM VÂN TAY'!B:B,B11,'CHẤM VÂN TAY'!L:L)</f>
        <v>2</v>
      </c>
      <c r="I11" s="32">
        <f>SUMIF('CHẤM VÂN TAY'!B:B,B11,'CHẤM VÂN TAY'!M:M)</f>
        <v>2</v>
      </c>
      <c r="J11" s="37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5"/>
      <c r="W11" s="35"/>
      <c r="X11" s="35"/>
    </row>
    <row r="12">
      <c r="A12" s="36">
        <v>10.0</v>
      </c>
      <c r="B12" s="27" t="s">
        <v>49</v>
      </c>
      <c r="C12" s="27" t="s">
        <v>45</v>
      </c>
      <c r="D12" s="50">
        <f>sumif('CHẤM VÂN TAY'!B:B,B12,'CHẤM VÂN TAY'!H:H)</f>
        <v>6</v>
      </c>
      <c r="E12" s="50">
        <f>SUMIF('CHẤM VÂN TAY'!B:B,B12,'CHẤM VÂN TAY'!I:I)</f>
        <v>0</v>
      </c>
      <c r="F12" s="50">
        <f>SUMIF('CHẤM VÂN TAY'!B:B,B12,'CHẤM VÂN TAY'!J:J)</f>
        <v>64</v>
      </c>
      <c r="G12" s="50">
        <f>SUMIF('CHẤM VÂN TAY'!B:B,B12,'CHẤM VÂN TAY'!K:K)</f>
        <v>15</v>
      </c>
      <c r="H12" s="50">
        <f>SUMIF('CHẤM VÂN TAY'!B:B,B12,'CHẤM VÂN TAY'!L:L)</f>
        <v>0</v>
      </c>
      <c r="I12" s="32">
        <f>SUMIF('CHẤM VÂN TAY'!B:B,B12,'CHẤM VÂN TAY'!M:M)</f>
        <v>1</v>
      </c>
      <c r="J12" s="37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5"/>
      <c r="W12" s="35"/>
      <c r="X12" s="35"/>
    </row>
    <row r="13">
      <c r="A13" s="25">
        <v>11.0</v>
      </c>
      <c r="B13" s="27" t="s">
        <v>54</v>
      </c>
      <c r="C13" s="27" t="s">
        <v>45</v>
      </c>
      <c r="D13" s="50">
        <f>sumif('CHẤM VÂN TAY'!B:B,B13,'CHẤM VÂN TAY'!H:H)</f>
        <v>0</v>
      </c>
      <c r="E13" s="50">
        <f>SUMIF('CHẤM VÂN TAY'!B:B,B13,'CHẤM VÂN TAY'!I:I)</f>
        <v>0</v>
      </c>
      <c r="F13" s="50">
        <f>SUMIF('CHẤM VÂN TAY'!B:B,B13,'CHẤM VÂN TAY'!J:J)</f>
        <v>58</v>
      </c>
      <c r="G13" s="50">
        <f>SUMIF('CHẤM VÂN TAY'!B:B,B13,'CHẤM VÂN TAY'!K:K)</f>
        <v>0</v>
      </c>
      <c r="H13" s="50">
        <f>SUMIF('CHẤM VÂN TAY'!B:B,B13,'CHẤM VÂN TAY'!L:L)</f>
        <v>5</v>
      </c>
      <c r="I13" s="32">
        <f>SUMIF('CHẤM VÂN TAY'!B:B,B13,'CHẤM VÂN TAY'!M:M)</f>
        <v>1</v>
      </c>
      <c r="J13" s="37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5"/>
      <c r="W13" s="35"/>
      <c r="X13" s="35"/>
    </row>
    <row r="14">
      <c r="A14" s="36">
        <v>12.0</v>
      </c>
      <c r="B14" s="27" t="s">
        <v>22</v>
      </c>
      <c r="C14" s="27" t="s">
        <v>23</v>
      </c>
      <c r="D14" s="50">
        <f>sumif('CHẤM VÂN TAY'!B:B,B14,'CHẤM VÂN TAY'!H:H)</f>
        <v>10</v>
      </c>
      <c r="E14" s="50">
        <f>SUMIF('CHẤM VÂN TAY'!B:B,B14,'CHẤM VÂN TAY'!I:I)</f>
        <v>0</v>
      </c>
      <c r="F14" s="50">
        <f>SUMIF('CHẤM VÂN TAY'!B:B,B14,'CHẤM VÂN TAY'!J:J)</f>
        <v>57</v>
      </c>
      <c r="G14" s="50">
        <f>SUMIF('CHẤM VÂN TAY'!B:B,B14,'CHẤM VÂN TAY'!K:K)</f>
        <v>0</v>
      </c>
      <c r="H14" s="50">
        <f>SUMIF('CHẤM VÂN TAY'!B:B,B14,'CHẤM VÂN TAY'!L:L)</f>
        <v>0</v>
      </c>
      <c r="I14" s="32">
        <f>SUMIF('CHẤM VÂN TAY'!B:B,B14,'CHẤM VÂN TAY'!M:M)</f>
        <v>4</v>
      </c>
      <c r="J14" s="37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5"/>
      <c r="W14" s="35"/>
      <c r="X14" s="35"/>
    </row>
    <row r="15">
      <c r="A15" s="25">
        <v>13.0</v>
      </c>
      <c r="B15" s="51" t="s">
        <v>61</v>
      </c>
      <c r="C15" s="27" t="s">
        <v>23</v>
      </c>
      <c r="D15" s="50">
        <f>sumif('CHẤM VÂN TAY'!B:B,B15,'CHẤM VÂN TAY'!H:H)</f>
        <v>1</v>
      </c>
      <c r="E15" s="50">
        <f>SUMIF('CHẤM VÂN TAY'!B:B,B15,'CHẤM VÂN TAY'!I:I)</f>
        <v>0</v>
      </c>
      <c r="F15" s="50">
        <f>SUMIF('CHẤM VÂN TAY'!B:B,B15,'CHẤM VÂN TAY'!J:J)</f>
        <v>63</v>
      </c>
      <c r="G15" s="50">
        <f>SUMIF('CHẤM VÂN TAY'!B:B,B15,'CHẤM VÂN TAY'!K:K)</f>
        <v>0</v>
      </c>
      <c r="H15" s="50">
        <f>SUMIF('CHẤM VÂN TAY'!B:B,B15,'CHẤM VÂN TAY'!L:L)</f>
        <v>0</v>
      </c>
      <c r="I15" s="32">
        <f>SUMIF('CHẤM VÂN TAY'!B:B,B15,'CHẤM VÂN TAY'!M:M)</f>
        <v>1</v>
      </c>
      <c r="J15" s="37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5"/>
      <c r="W15" s="35"/>
      <c r="X15" s="35"/>
    </row>
    <row r="16">
      <c r="A16" s="36">
        <v>14.0</v>
      </c>
      <c r="B16" s="27" t="s">
        <v>66</v>
      </c>
      <c r="C16" s="27" t="s">
        <v>67</v>
      </c>
      <c r="D16" s="50">
        <f>sumif('CHẤM VÂN TAY'!B:B,B16,'CHẤM VÂN TAY'!H:H)</f>
        <v>2</v>
      </c>
      <c r="E16" s="50">
        <f>SUMIF('CHẤM VÂN TAY'!B:B,B16,'CHẤM VÂN TAY'!I:I)</f>
        <v>0</v>
      </c>
      <c r="F16" s="50">
        <f>SUMIF('CHẤM VÂN TAY'!B:B,B16,'CHẤM VÂN TAY'!J:J)</f>
        <v>58</v>
      </c>
      <c r="G16" s="50">
        <f>SUMIF('CHẤM VÂN TAY'!B:B,B16,'CHẤM VÂN TAY'!K:K)</f>
        <v>60</v>
      </c>
      <c r="H16" s="50">
        <f>SUMIF('CHẤM VÂN TAY'!B:B,B16,'CHẤM VÂN TAY'!L:L)</f>
        <v>0</v>
      </c>
      <c r="I16" s="32">
        <f>SUMIF('CHẤM VÂN TAY'!B:B,B16,'CHẤM VÂN TAY'!M:M)</f>
        <v>0</v>
      </c>
      <c r="J16" s="37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5"/>
      <c r="W16" s="35"/>
      <c r="X16" s="35"/>
    </row>
    <row r="17">
      <c r="A17" s="36">
        <v>16.0</v>
      </c>
      <c r="B17" s="27" t="s">
        <v>72</v>
      </c>
      <c r="C17" s="27" t="s">
        <v>67</v>
      </c>
      <c r="D17" s="50">
        <f>sumif('CHẤM VÂN TAY'!B:B,B17,'CHẤM VÂN TAY'!H:H)</f>
        <v>0</v>
      </c>
      <c r="E17" s="50">
        <f>SUMIF('CHẤM VÂN TAY'!B:B,B17,'CHẤM VÂN TAY'!I:I)</f>
        <v>0</v>
      </c>
      <c r="F17" s="50">
        <f>SUMIF('CHẤM VÂN TAY'!B:B,B17,'CHẤM VÂN TAY'!J:J)</f>
        <v>59</v>
      </c>
      <c r="G17" s="50">
        <f>SUMIF('CHẤM VÂN TAY'!B:B,B17,'CHẤM VÂN TAY'!K:K)</f>
        <v>60</v>
      </c>
      <c r="H17" s="50">
        <f>SUMIF('CHẤM VÂN TAY'!B:B,B17,'CHẤM VÂN TAY'!L:L)</f>
        <v>6</v>
      </c>
      <c r="I17" s="32">
        <f>SUMIF('CHẤM VÂN TAY'!B:B,B17,'CHẤM VÂN TAY'!M:M)</f>
        <v>3</v>
      </c>
      <c r="J17" s="37"/>
      <c r="K17" s="52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5"/>
      <c r="W17" s="35"/>
      <c r="X17" s="35"/>
    </row>
    <row r="18">
      <c r="A18" s="25">
        <v>17.0</v>
      </c>
      <c r="B18" s="42" t="s">
        <v>76</v>
      </c>
      <c r="C18" s="27" t="s">
        <v>67</v>
      </c>
      <c r="D18" s="50">
        <f>sumif('CHẤM VÂN TAY'!B:B,B18,'CHẤM VÂN TAY'!H:H)</f>
        <v>0</v>
      </c>
      <c r="E18" s="50">
        <f>SUMIF('CHẤM VÂN TAY'!B:B,B18,'CHẤM VÂN TAY'!I:I)</f>
        <v>0</v>
      </c>
      <c r="F18" s="50">
        <f>SUMIF('CHẤM VÂN TAY'!B:B,B18,'CHẤM VÂN TAY'!J:J)</f>
        <v>65</v>
      </c>
      <c r="G18" s="50">
        <f>SUMIF('CHẤM VÂN TAY'!B:B,B18,'CHẤM VÂN TAY'!K:K)</f>
        <v>65</v>
      </c>
      <c r="H18" s="50">
        <f>SUMIF('CHẤM VÂN TAY'!B:B,B18,'CHẤM VÂN TAY'!L:L)</f>
        <v>3</v>
      </c>
      <c r="I18" s="32">
        <f>SUMIF('CHẤM VÂN TAY'!B:B,B18,'CHẤM VÂN TAY'!M:M)</f>
        <v>3</v>
      </c>
      <c r="J18" s="37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5"/>
      <c r="W18" s="35"/>
      <c r="X18" s="35"/>
    </row>
    <row r="19">
      <c r="A19" s="36">
        <v>18.0</v>
      </c>
      <c r="B19" s="42" t="s">
        <v>80</v>
      </c>
      <c r="C19" s="27" t="s">
        <v>67</v>
      </c>
      <c r="D19" s="50">
        <f>sumif('CHẤM VÂN TAY'!B:B,B19,'CHẤM VÂN TAY'!H:H)</f>
        <v>0</v>
      </c>
      <c r="E19" s="50">
        <f>SUMIF('CHẤM VÂN TAY'!B:B,B19,'CHẤM VÂN TAY'!I:I)</f>
        <v>0</v>
      </c>
      <c r="F19" s="50">
        <f>SUMIF('CHẤM VÂN TAY'!B:B,B19,'CHẤM VÂN TAY'!J:J)</f>
        <v>58</v>
      </c>
      <c r="G19" s="50">
        <f>SUMIF('CHẤM VÂN TAY'!B:B,B19,'CHẤM VÂN TAY'!K:K)</f>
        <v>90</v>
      </c>
      <c r="H19" s="50">
        <f>SUMIF('CHẤM VÂN TAY'!B:B,B19,'CHẤM VÂN TAY'!L:L)</f>
        <v>2</v>
      </c>
      <c r="I19" s="32">
        <f>SUMIF('CHẤM VÂN TAY'!B:B,B19,'CHẤM VÂN TAY'!M:M)</f>
        <v>3</v>
      </c>
      <c r="J19" s="37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5"/>
      <c r="W19" s="35"/>
      <c r="X19" s="35"/>
    </row>
    <row r="20">
      <c r="A20" s="25">
        <v>19.0</v>
      </c>
      <c r="B20" s="42" t="s">
        <v>85</v>
      </c>
      <c r="C20" s="27" t="s">
        <v>67</v>
      </c>
      <c r="D20" s="50">
        <f>sumif('CHẤM VÂN TAY'!B:B,B20,'CHẤM VÂN TAY'!H:H)</f>
        <v>0</v>
      </c>
      <c r="E20" s="50">
        <f>SUMIF('CHẤM VÂN TAY'!B:B,B20,'CHẤM VÂN TAY'!I:I)</f>
        <v>0</v>
      </c>
      <c r="F20" s="50">
        <f>SUMIF('CHẤM VÂN TAY'!B:B,B20,'CHẤM VÂN TAY'!J:J)</f>
        <v>64</v>
      </c>
      <c r="G20" s="50">
        <f>SUMIF('CHẤM VÂN TAY'!B:B,B20,'CHẤM VÂN TAY'!K:K)</f>
        <v>0</v>
      </c>
      <c r="H20" s="50">
        <f>SUMIF('CHẤM VÂN TAY'!B:B,B20,'CHẤM VÂN TAY'!L:L)</f>
        <v>1</v>
      </c>
      <c r="I20" s="32">
        <f>SUMIF('CHẤM VÂN TAY'!B:B,B20,'CHẤM VÂN TAY'!M:M)</f>
        <v>3</v>
      </c>
      <c r="J20" s="37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5"/>
      <c r="W20" s="35"/>
      <c r="X20" s="35"/>
    </row>
    <row r="21">
      <c r="A21" s="36">
        <v>20.0</v>
      </c>
      <c r="B21" s="51" t="s">
        <v>90</v>
      </c>
      <c r="C21" s="27" t="s">
        <v>67</v>
      </c>
      <c r="D21" s="50">
        <f>sumif('CHẤM VÂN TAY'!B:B,B21,'CHẤM VÂN TAY'!H:H)</f>
        <v>0</v>
      </c>
      <c r="E21" s="50">
        <f>SUMIF('CHẤM VÂN TAY'!B:B,B21,'CHẤM VÂN TAY'!I:I)</f>
        <v>0</v>
      </c>
      <c r="F21" s="50">
        <f>SUMIF('CHẤM VÂN TAY'!B:B,B21,'CHẤM VÂN TAY'!J:J)</f>
        <v>62</v>
      </c>
      <c r="G21" s="50">
        <f>SUMIF('CHẤM VÂN TAY'!B:B,B21,'CHẤM VÂN TAY'!K:K)</f>
        <v>15</v>
      </c>
      <c r="H21" s="50">
        <f>SUMIF('CHẤM VÂN TAY'!B:B,B21,'CHẤM VÂN TAY'!L:L)</f>
        <v>3</v>
      </c>
      <c r="I21" s="32">
        <f>SUMIF('CHẤM VÂN TAY'!B:B,B21,'CHẤM VÂN TAY'!M:M)</f>
        <v>4</v>
      </c>
      <c r="J21" s="37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5"/>
      <c r="W21" s="35"/>
      <c r="X21" s="35"/>
    </row>
    <row r="22">
      <c r="A22" s="25">
        <v>21.0</v>
      </c>
      <c r="B22" s="27" t="s">
        <v>92</v>
      </c>
      <c r="C22" s="27" t="s">
        <v>93</v>
      </c>
      <c r="D22" s="50">
        <f>sumif('CHẤM VÂN TAY'!B:B,B22,'CHẤM VÂN TAY'!H:H)</f>
        <v>0</v>
      </c>
      <c r="E22" s="50">
        <f>SUMIF('CHẤM VÂN TAY'!B:B,B22,'CHẤM VÂN TAY'!I:I)</f>
        <v>0</v>
      </c>
      <c r="F22" s="50">
        <f>SUMIF('CHẤM VÂN TAY'!B:B,B22,'CHẤM VÂN TAY'!J:J)</f>
        <v>53</v>
      </c>
      <c r="G22" s="50">
        <f>SUMIF('CHẤM VÂN TAY'!B:B,B22,'CHẤM VÂN TAY'!K:K)</f>
        <v>0</v>
      </c>
      <c r="H22" s="50">
        <f>SUMIF('CHẤM VÂN TAY'!B:B,B22,'CHẤM VÂN TAY'!L:L)</f>
        <v>0</v>
      </c>
      <c r="I22" s="32">
        <f>SUMIF('CHẤM VÂN TAY'!B:B,B22,'CHẤM VÂN TAY'!M:M)</f>
        <v>0</v>
      </c>
      <c r="J22" s="37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5"/>
      <c r="W22" s="35"/>
      <c r="X22" s="35"/>
    </row>
    <row r="23">
      <c r="A23" s="36">
        <v>22.0</v>
      </c>
      <c r="B23" s="27" t="s">
        <v>96</v>
      </c>
      <c r="C23" s="27" t="s">
        <v>97</v>
      </c>
      <c r="D23" s="50">
        <f>sumif('CHẤM VÂN TAY'!B:B,B23,'CHẤM VÂN TAY'!H:H)</f>
        <v>13</v>
      </c>
      <c r="E23" s="50">
        <f>SUMIF('CHẤM VÂN TAY'!B:B,B23,'CHẤM VÂN TAY'!I:I)</f>
        <v>0</v>
      </c>
      <c r="F23" s="50">
        <f>SUMIF('CHẤM VÂN TAY'!B:B,B23,'CHẤM VÂN TAY'!J:J)</f>
        <v>60</v>
      </c>
      <c r="G23" s="50">
        <f>SUMIF('CHẤM VÂN TAY'!B:B,B23,'CHẤM VÂN TAY'!K:K)</f>
        <v>0</v>
      </c>
      <c r="H23" s="50">
        <f>SUMIF('CHẤM VÂN TAY'!$B:$B,B23,'CHẤM VÂN TAY'!$L:$L)</f>
        <v>6</v>
      </c>
      <c r="I23" s="32">
        <f>SUMIF('CHẤM VÂN TAY'!B:B,B23,'CHẤM VÂN TAY'!M:M)</f>
        <v>3</v>
      </c>
      <c r="J23" s="33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35"/>
      <c r="X23" s="35"/>
    </row>
    <row r="24">
      <c r="A24" s="25">
        <v>23.0</v>
      </c>
      <c r="B24" s="51" t="s">
        <v>103</v>
      </c>
      <c r="C24" s="27" t="s">
        <v>97</v>
      </c>
      <c r="D24" s="50">
        <f>sumif('CHẤM VÂN TAY'!B:B,B24,'CHẤM VÂN TAY'!H:H)</f>
        <v>0</v>
      </c>
      <c r="E24" s="50">
        <f>SUMIF('CHẤM VÂN TAY'!B:B,B24,'CHẤM VÂN TAY'!I:I)</f>
        <v>0</v>
      </c>
      <c r="F24" s="50">
        <f>SUMIF('CHẤM VÂN TAY'!B:B,B24,'CHẤM VÂN TAY'!J:J)</f>
        <v>57</v>
      </c>
      <c r="G24" s="50">
        <f>SUMIF('CHẤM VÂN TAY'!B:B,B24,'CHẤM VÂN TAY'!K:K)</f>
        <v>0</v>
      </c>
      <c r="H24" s="50">
        <f>SUMIF('CHẤM VÂN TAY'!$B:$B,B24,'CHẤM VÂN TAY'!$L:$L)</f>
        <v>3</v>
      </c>
      <c r="I24" s="32">
        <f>SUMIF('CHẤM VÂN TAY'!B:B,B24,'CHẤM VÂN TAY'!M:M)</f>
        <v>1</v>
      </c>
      <c r="J24" s="33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5"/>
      <c r="W25" s="35"/>
      <c r="X25" s="35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5"/>
      <c r="W26" s="35"/>
      <c r="X26" s="35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/>
      <c r="V27" s="35"/>
      <c r="W27" s="35"/>
      <c r="X27" s="35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  <c r="V28" s="35"/>
      <c r="W28" s="35"/>
      <c r="X28" s="35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35"/>
      <c r="W29" s="35"/>
      <c r="X29" s="35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35"/>
      <c r="W30" s="35"/>
      <c r="X30" s="35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  <c r="V31" s="35"/>
      <c r="W31" s="35"/>
      <c r="X31" s="35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/>
      <c r="V32" s="35"/>
      <c r="W32" s="35"/>
      <c r="X32" s="35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/>
      <c r="V33" s="35"/>
      <c r="W33" s="35"/>
      <c r="X33" s="35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/>
      <c r="V34" s="35"/>
      <c r="W34" s="35"/>
      <c r="X34" s="35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5"/>
      <c r="W35" s="35"/>
      <c r="X35" s="35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5"/>
      <c r="W36" s="35"/>
      <c r="X36" s="35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5"/>
      <c r="W37" s="35"/>
      <c r="X37" s="35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5"/>
      <c r="W38" s="35"/>
      <c r="X38" s="35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5"/>
      <c r="W39" s="35"/>
      <c r="X39" s="35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5"/>
      <c r="W40" s="35"/>
      <c r="X40" s="35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5"/>
      <c r="W41" s="35"/>
      <c r="X41" s="35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5"/>
      <c r="W42" s="35"/>
      <c r="X42" s="35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5"/>
      <c r="W43" s="35"/>
      <c r="X43" s="35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5"/>
      <c r="W44" s="35"/>
      <c r="X44" s="35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5"/>
      <c r="W45" s="35"/>
      <c r="X45" s="35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5"/>
      <c r="W46" s="35"/>
      <c r="X46" s="35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5"/>
      <c r="W47" s="35"/>
      <c r="X47" s="35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5"/>
      <c r="W48" s="35"/>
      <c r="X48" s="35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5"/>
      <c r="W49" s="35"/>
      <c r="X49" s="35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5"/>
      <c r="W50" s="35"/>
      <c r="X50" s="35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5"/>
      <c r="W51" s="35"/>
      <c r="X51" s="35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5"/>
      <c r="W52" s="35"/>
      <c r="X52" s="35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5"/>
      <c r="W53" s="35"/>
      <c r="X53" s="35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5"/>
      <c r="W54" s="35"/>
      <c r="X54" s="35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5"/>
      <c r="W55" s="35"/>
      <c r="X55" s="35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5"/>
      <c r="W56" s="35"/>
      <c r="X56" s="35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5"/>
      <c r="W57" s="35"/>
      <c r="X57" s="35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5"/>
      <c r="W58" s="35"/>
      <c r="X58" s="35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5"/>
      <c r="W59" s="35"/>
      <c r="X59" s="35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5"/>
      <c r="W60" s="35"/>
      <c r="X60" s="35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5"/>
      <c r="W61" s="35"/>
      <c r="X61" s="35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5"/>
      <c r="W62" s="35"/>
      <c r="X62" s="35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5"/>
      <c r="W63" s="35"/>
      <c r="X63" s="35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5"/>
      <c r="W64" s="35"/>
      <c r="X64" s="35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5"/>
      <c r="W65" s="35"/>
      <c r="X65" s="35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5"/>
      <c r="W66" s="35"/>
      <c r="X66" s="35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5"/>
      <c r="W67" s="35"/>
      <c r="X67" s="35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5"/>
      <c r="W68" s="35"/>
      <c r="X68" s="35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5"/>
      <c r="W69" s="35"/>
      <c r="X69" s="35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5"/>
      <c r="W70" s="35"/>
      <c r="X70" s="35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5"/>
      <c r="W71" s="35"/>
      <c r="X71" s="35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5"/>
      <c r="W72" s="35"/>
      <c r="X72" s="35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5"/>
      <c r="W73" s="35"/>
      <c r="X73" s="35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5"/>
      <c r="W74" s="35"/>
      <c r="X74" s="35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5"/>
      <c r="W75" s="35"/>
      <c r="X75" s="35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5"/>
      <c r="W76" s="35"/>
      <c r="X76" s="35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5"/>
      <c r="W77" s="35"/>
      <c r="X77" s="35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5"/>
      <c r="W78" s="35"/>
      <c r="X78" s="35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5"/>
      <c r="W79" s="35"/>
      <c r="X79" s="35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5"/>
      <c r="W80" s="35"/>
      <c r="X80" s="35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5"/>
      <c r="W81" s="35"/>
      <c r="X81" s="35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5"/>
      <c r="W82" s="35"/>
      <c r="X82" s="35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5"/>
      <c r="W83" s="35"/>
      <c r="X83" s="35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5"/>
      <c r="W84" s="35"/>
      <c r="X84" s="35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5"/>
      <c r="W85" s="35"/>
      <c r="X85" s="35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5"/>
      <c r="W86" s="35"/>
      <c r="X86" s="35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5"/>
      <c r="W87" s="35"/>
      <c r="X87" s="35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5"/>
      <c r="W88" s="35"/>
      <c r="X88" s="35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5"/>
      <c r="W89" s="35"/>
      <c r="X89" s="35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5"/>
      <c r="W90" s="35"/>
      <c r="X90" s="35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5"/>
      <c r="W91" s="35"/>
      <c r="X91" s="35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5"/>
      <c r="W92" s="35"/>
      <c r="X92" s="35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5"/>
      <c r="W93" s="35"/>
      <c r="X93" s="35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5"/>
      <c r="W94" s="35"/>
      <c r="X94" s="35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5"/>
      <c r="W95" s="35"/>
      <c r="X95" s="35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5"/>
      <c r="W96" s="35"/>
      <c r="X96" s="35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5"/>
      <c r="W97" s="35"/>
      <c r="X97" s="35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5"/>
      <c r="W98" s="35"/>
      <c r="X98" s="35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5"/>
      <c r="W99" s="35"/>
      <c r="X99" s="35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5"/>
      <c r="W100" s="35"/>
      <c r="X100" s="35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5"/>
      <c r="W101" s="35"/>
      <c r="X101" s="35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5"/>
      <c r="W102" s="35"/>
      <c r="X102" s="35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5"/>
      <c r="W103" s="35"/>
      <c r="X103" s="35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5"/>
      <c r="W104" s="35"/>
      <c r="X104" s="35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5"/>
      <c r="W105" s="35"/>
      <c r="X105" s="35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5"/>
      <c r="W106" s="35"/>
      <c r="X106" s="35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5"/>
      <c r="W107" s="35"/>
      <c r="X107" s="35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5"/>
      <c r="W108" s="35"/>
      <c r="X108" s="35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5"/>
      <c r="W109" s="35"/>
      <c r="X109" s="35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5"/>
      <c r="W110" s="35"/>
      <c r="X110" s="35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5"/>
      <c r="W111" s="35"/>
      <c r="X111" s="35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5"/>
      <c r="W112" s="35"/>
      <c r="X112" s="35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5"/>
      <c r="W113" s="35"/>
      <c r="X113" s="35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5"/>
      <c r="W114" s="35"/>
      <c r="X114" s="35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5"/>
      <c r="W115" s="35"/>
      <c r="X115" s="35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5"/>
      <c r="W116" s="35"/>
      <c r="X116" s="35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5"/>
      <c r="W117" s="35"/>
      <c r="X117" s="35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5"/>
      <c r="W118" s="35"/>
      <c r="X118" s="35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5"/>
      <c r="W119" s="35"/>
      <c r="X119" s="35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5"/>
      <c r="W120" s="35"/>
      <c r="X120" s="35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5"/>
      <c r="W121" s="35"/>
      <c r="X121" s="35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5"/>
      <c r="W122" s="35"/>
      <c r="X122" s="35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5"/>
      <c r="W123" s="35"/>
      <c r="X123" s="35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5"/>
      <c r="W124" s="35"/>
      <c r="X124" s="35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5"/>
      <c r="W125" s="35"/>
      <c r="X125" s="35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5"/>
      <c r="W126" s="35"/>
      <c r="X126" s="35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5"/>
      <c r="W127" s="35"/>
      <c r="X127" s="35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5"/>
      <c r="W128" s="35"/>
      <c r="X128" s="35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5"/>
      <c r="W129" s="35"/>
      <c r="X129" s="35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5"/>
      <c r="W130" s="35"/>
      <c r="X130" s="35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5"/>
      <c r="W131" s="35"/>
      <c r="X131" s="35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5"/>
      <c r="W132" s="35"/>
      <c r="X132" s="35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5"/>
      <c r="W133" s="35"/>
      <c r="X133" s="35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5"/>
      <c r="W134" s="35"/>
      <c r="X134" s="35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5"/>
      <c r="W135" s="35"/>
      <c r="X135" s="35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5"/>
      <c r="W136" s="35"/>
      <c r="X136" s="35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5"/>
      <c r="W137" s="35"/>
      <c r="X137" s="35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5"/>
      <c r="W138" s="35"/>
      <c r="X138" s="35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5"/>
      <c r="W139" s="35"/>
      <c r="X139" s="35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5"/>
      <c r="W140" s="35"/>
      <c r="X140" s="35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5"/>
      <c r="W141" s="35"/>
      <c r="X141" s="35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5"/>
      <c r="W142" s="35"/>
      <c r="X142" s="35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5"/>
      <c r="W143" s="35"/>
      <c r="X143" s="35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5"/>
      <c r="W144" s="35"/>
      <c r="X144" s="35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5"/>
      <c r="W145" s="35"/>
      <c r="X145" s="35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5"/>
      <c r="W146" s="35"/>
      <c r="X146" s="35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5"/>
      <c r="W147" s="35"/>
      <c r="X147" s="35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5"/>
      <c r="W148" s="35"/>
      <c r="X148" s="35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5"/>
      <c r="W149" s="35"/>
      <c r="X149" s="35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5"/>
      <c r="W150" s="35"/>
      <c r="X150" s="35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5"/>
      <c r="W151" s="35"/>
      <c r="X151" s="35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5"/>
      <c r="W152" s="35"/>
      <c r="X152" s="35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/>
      <c r="V153" s="35"/>
      <c r="W153" s="35"/>
      <c r="X153" s="35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5"/>
      <c r="W154" s="35"/>
      <c r="X154" s="35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5"/>
      <c r="W155" s="35"/>
      <c r="X155" s="35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5"/>
      <c r="W156" s="35"/>
      <c r="X156" s="35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5"/>
      <c r="W157" s="35"/>
      <c r="X157" s="35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5"/>
      <c r="W158" s="35"/>
      <c r="X158" s="35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5"/>
      <c r="W159" s="35"/>
      <c r="X159" s="35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5"/>
      <c r="W160" s="35"/>
      <c r="X160" s="35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5"/>
      <c r="W161" s="35"/>
      <c r="X161" s="35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5"/>
      <c r="W162" s="35"/>
      <c r="X162" s="35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5"/>
      <c r="W163" s="35"/>
      <c r="X163" s="35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5"/>
      <c r="W164" s="35"/>
      <c r="X164" s="35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5"/>
      <c r="W165" s="35"/>
      <c r="X165" s="35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5"/>
      <c r="W166" s="35"/>
      <c r="X166" s="35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5"/>
      <c r="W167" s="35"/>
      <c r="X167" s="35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5"/>
      <c r="W168" s="35"/>
      <c r="X168" s="35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5"/>
      <c r="W169" s="35"/>
      <c r="X169" s="35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5"/>
      <c r="W170" s="35"/>
      <c r="X170" s="35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5"/>
      <c r="W171" s="35"/>
      <c r="X171" s="35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5"/>
      <c r="W172" s="35"/>
      <c r="X172" s="35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5"/>
      <c r="W173" s="35"/>
      <c r="X173" s="35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5"/>
      <c r="W174" s="35"/>
      <c r="X174" s="35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5"/>
      <c r="W175" s="35"/>
      <c r="X175" s="35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5"/>
      <c r="V176" s="35"/>
      <c r="W176" s="35"/>
      <c r="X176" s="35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5"/>
      <c r="V177" s="35"/>
      <c r="W177" s="35"/>
      <c r="X177" s="35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5"/>
      <c r="V178" s="35"/>
      <c r="W178" s="35"/>
      <c r="X178" s="35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5"/>
      <c r="V179" s="35"/>
      <c r="W179" s="35"/>
      <c r="X179" s="35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5"/>
      <c r="V180" s="35"/>
      <c r="W180" s="35"/>
      <c r="X180" s="35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5"/>
      <c r="V181" s="35"/>
      <c r="W181" s="35"/>
      <c r="X181" s="35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5"/>
      <c r="V182" s="35"/>
      <c r="W182" s="35"/>
      <c r="X182" s="35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5"/>
      <c r="V183" s="35"/>
      <c r="W183" s="35"/>
      <c r="X183" s="35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5"/>
      <c r="V184" s="35"/>
      <c r="W184" s="35"/>
      <c r="X184" s="35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5"/>
      <c r="V185" s="35"/>
      <c r="W185" s="35"/>
      <c r="X185" s="35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5"/>
      <c r="W186" s="35"/>
      <c r="X186" s="35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5"/>
      <c r="W187" s="35"/>
      <c r="X187" s="35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5"/>
      <c r="W188" s="35"/>
      <c r="X188" s="35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5"/>
      <c r="W189" s="35"/>
      <c r="X189" s="35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5"/>
      <c r="W190" s="35"/>
      <c r="X190" s="35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5"/>
      <c r="W191" s="35"/>
      <c r="X191" s="35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5"/>
      <c r="W192" s="35"/>
      <c r="X192" s="35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5"/>
      <c r="W193" s="35"/>
      <c r="X193" s="35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5"/>
      <c r="V194" s="35"/>
      <c r="W194" s="35"/>
      <c r="X194" s="35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5"/>
      <c r="V195" s="35"/>
      <c r="W195" s="35"/>
      <c r="X195" s="35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5"/>
      <c r="V196" s="35"/>
      <c r="W196" s="35"/>
      <c r="X196" s="35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5"/>
      <c r="V197" s="35"/>
      <c r="W197" s="35"/>
      <c r="X197" s="35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5"/>
      <c r="V198" s="35"/>
      <c r="W198" s="35"/>
      <c r="X198" s="35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5"/>
      <c r="V199" s="35"/>
      <c r="W199" s="35"/>
      <c r="X199" s="35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5"/>
      <c r="V200" s="35"/>
      <c r="W200" s="35"/>
      <c r="X200" s="35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5"/>
      <c r="V201" s="35"/>
      <c r="W201" s="35"/>
      <c r="X201" s="35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5"/>
      <c r="V202" s="35"/>
      <c r="W202" s="35"/>
      <c r="X202" s="35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5"/>
      <c r="V203" s="35"/>
      <c r="W203" s="35"/>
      <c r="X203" s="35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5"/>
      <c r="V204" s="35"/>
      <c r="W204" s="35"/>
      <c r="X204" s="35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5"/>
      <c r="V205" s="35"/>
      <c r="W205" s="35"/>
      <c r="X205" s="35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5"/>
      <c r="V206" s="35"/>
      <c r="W206" s="35"/>
      <c r="X206" s="35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5"/>
      <c r="V207" s="35"/>
      <c r="W207" s="35"/>
      <c r="X207" s="35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5"/>
      <c r="V208" s="35"/>
      <c r="W208" s="35"/>
      <c r="X208" s="35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5"/>
      <c r="V209" s="35"/>
      <c r="W209" s="35"/>
      <c r="X209" s="35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5"/>
      <c r="V210" s="35"/>
      <c r="W210" s="35"/>
      <c r="X210" s="35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5"/>
      <c r="V211" s="35"/>
      <c r="W211" s="35"/>
      <c r="X211" s="35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5"/>
      <c r="V212" s="35"/>
      <c r="W212" s="35"/>
      <c r="X212" s="35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5"/>
      <c r="V213" s="35"/>
      <c r="W213" s="35"/>
      <c r="X213" s="35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5"/>
      <c r="V214" s="35"/>
      <c r="W214" s="35"/>
      <c r="X214" s="35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5"/>
      <c r="V215" s="35"/>
      <c r="W215" s="35"/>
      <c r="X215" s="35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5"/>
      <c r="V216" s="35"/>
      <c r="W216" s="35"/>
      <c r="X216" s="35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5"/>
      <c r="V217" s="35"/>
      <c r="W217" s="35"/>
      <c r="X217" s="35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5"/>
      <c r="V218" s="35"/>
      <c r="W218" s="35"/>
      <c r="X218" s="35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5"/>
      <c r="V219" s="35"/>
      <c r="W219" s="35"/>
      <c r="X219" s="35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5"/>
      <c r="V220" s="35"/>
      <c r="W220" s="35"/>
      <c r="X220" s="35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5"/>
      <c r="V221" s="35"/>
      <c r="W221" s="35"/>
      <c r="X221" s="35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5"/>
      <c r="V222" s="35"/>
      <c r="W222" s="35"/>
      <c r="X222" s="35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5"/>
      <c r="V223" s="35"/>
      <c r="W223" s="35"/>
      <c r="X223" s="35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5"/>
      <c r="V224" s="35"/>
      <c r="W224" s="35"/>
      <c r="X224" s="35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5"/>
      <c r="V225" s="35"/>
      <c r="W225" s="35"/>
      <c r="X225" s="35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5"/>
      <c r="V226" s="35"/>
      <c r="W226" s="35"/>
      <c r="X226" s="35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5"/>
      <c r="V227" s="35"/>
      <c r="W227" s="35"/>
      <c r="X227" s="35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5"/>
      <c r="V228" s="35"/>
      <c r="W228" s="35"/>
      <c r="X228" s="35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5"/>
      <c r="V229" s="35"/>
      <c r="W229" s="35"/>
      <c r="X229" s="35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5"/>
      <c r="V230" s="35"/>
      <c r="W230" s="35"/>
      <c r="X230" s="35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5"/>
      <c r="V231" s="35"/>
      <c r="W231" s="35"/>
      <c r="X231" s="35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5"/>
      <c r="V232" s="35"/>
      <c r="W232" s="35"/>
      <c r="X232" s="35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5"/>
      <c r="V233" s="35"/>
      <c r="W233" s="35"/>
      <c r="X233" s="35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5"/>
      <c r="V234" s="35"/>
      <c r="W234" s="35"/>
      <c r="X234" s="35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5"/>
      <c r="V235" s="35"/>
      <c r="W235" s="35"/>
      <c r="X235" s="35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5"/>
      <c r="V236" s="35"/>
      <c r="W236" s="35"/>
      <c r="X236" s="35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5"/>
      <c r="V237" s="35"/>
      <c r="W237" s="35"/>
      <c r="X237" s="35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5"/>
      <c r="V238" s="35"/>
      <c r="W238" s="35"/>
      <c r="X238" s="35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5"/>
      <c r="V239" s="35"/>
      <c r="W239" s="35"/>
      <c r="X239" s="35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5"/>
      <c r="V240" s="35"/>
      <c r="W240" s="35"/>
      <c r="X240" s="35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5"/>
      <c r="V241" s="35"/>
      <c r="W241" s="35"/>
      <c r="X241" s="35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5"/>
      <c r="V242" s="35"/>
      <c r="W242" s="35"/>
      <c r="X242" s="35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5"/>
      <c r="V243" s="35"/>
      <c r="W243" s="35"/>
      <c r="X243" s="35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5"/>
      <c r="V244" s="35"/>
      <c r="W244" s="35"/>
      <c r="X244" s="35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5"/>
      <c r="V245" s="35"/>
      <c r="W245" s="35"/>
      <c r="X245" s="35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5"/>
      <c r="V246" s="35"/>
      <c r="W246" s="35"/>
      <c r="X246" s="35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5"/>
      <c r="V247" s="35"/>
      <c r="W247" s="35"/>
      <c r="X247" s="35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5"/>
      <c r="V248" s="35"/>
      <c r="W248" s="35"/>
      <c r="X248" s="35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5"/>
      <c r="V249" s="35"/>
      <c r="W249" s="35"/>
      <c r="X249" s="35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5"/>
      <c r="V250" s="35"/>
      <c r="W250" s="35"/>
      <c r="X250" s="35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5"/>
      <c r="V251" s="35"/>
      <c r="W251" s="35"/>
      <c r="X251" s="35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5"/>
      <c r="V252" s="35"/>
      <c r="W252" s="35"/>
      <c r="X252" s="35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5"/>
      <c r="V253" s="35"/>
      <c r="W253" s="35"/>
      <c r="X253" s="35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5"/>
      <c r="V254" s="35"/>
      <c r="W254" s="35"/>
      <c r="X254" s="35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5"/>
      <c r="V255" s="35"/>
      <c r="W255" s="35"/>
      <c r="X255" s="35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5"/>
      <c r="V256" s="35"/>
      <c r="W256" s="35"/>
      <c r="X256" s="35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5"/>
      <c r="V257" s="35"/>
      <c r="W257" s="35"/>
      <c r="X257" s="35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5"/>
      <c r="V258" s="35"/>
      <c r="W258" s="35"/>
      <c r="X258" s="35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5"/>
      <c r="V259" s="35"/>
      <c r="W259" s="35"/>
      <c r="X259" s="35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5"/>
      <c r="V260" s="35"/>
      <c r="W260" s="35"/>
      <c r="X260" s="35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5"/>
      <c r="V261" s="35"/>
      <c r="W261" s="35"/>
      <c r="X261" s="35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5"/>
      <c r="V262" s="35"/>
      <c r="W262" s="35"/>
      <c r="X262" s="35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5"/>
      <c r="V263" s="35"/>
      <c r="W263" s="35"/>
      <c r="X263" s="35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5"/>
      <c r="V264" s="35"/>
      <c r="W264" s="35"/>
      <c r="X264" s="35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5"/>
      <c r="V265" s="35"/>
      <c r="W265" s="35"/>
      <c r="X265" s="35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5"/>
      <c r="V266" s="35"/>
      <c r="W266" s="35"/>
      <c r="X266" s="35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5"/>
      <c r="V267" s="35"/>
      <c r="W267" s="35"/>
      <c r="X267" s="35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5"/>
      <c r="V268" s="35"/>
      <c r="W268" s="35"/>
      <c r="X268" s="35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5"/>
      <c r="V269" s="35"/>
      <c r="W269" s="35"/>
      <c r="X269" s="35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5"/>
      <c r="V270" s="35"/>
      <c r="W270" s="35"/>
      <c r="X270" s="35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5"/>
      <c r="V271" s="35"/>
      <c r="W271" s="35"/>
      <c r="X271" s="35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5"/>
      <c r="V272" s="35"/>
      <c r="W272" s="35"/>
      <c r="X272" s="35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5"/>
      <c r="V273" s="35"/>
      <c r="W273" s="35"/>
      <c r="X273" s="35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5"/>
      <c r="V274" s="35"/>
      <c r="W274" s="35"/>
      <c r="X274" s="35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5"/>
      <c r="V275" s="35"/>
      <c r="W275" s="35"/>
      <c r="X275" s="35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5"/>
      <c r="V276" s="35"/>
      <c r="W276" s="35"/>
      <c r="X276" s="35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5"/>
      <c r="V277" s="35"/>
      <c r="W277" s="35"/>
      <c r="X277" s="35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5"/>
      <c r="V278" s="35"/>
      <c r="W278" s="35"/>
      <c r="X278" s="35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5"/>
      <c r="V279" s="35"/>
      <c r="W279" s="35"/>
      <c r="X279" s="35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5"/>
      <c r="V280" s="35"/>
      <c r="W280" s="35"/>
      <c r="X280" s="35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5"/>
      <c r="V281" s="35"/>
      <c r="W281" s="35"/>
      <c r="X281" s="35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5"/>
      <c r="V282" s="35"/>
      <c r="W282" s="35"/>
      <c r="X282" s="35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5"/>
      <c r="V283" s="35"/>
      <c r="W283" s="35"/>
      <c r="X283" s="35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5"/>
      <c r="V284" s="35"/>
      <c r="W284" s="35"/>
      <c r="X284" s="35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5"/>
      <c r="V285" s="35"/>
      <c r="W285" s="35"/>
      <c r="X285" s="35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5"/>
      <c r="V286" s="35"/>
      <c r="W286" s="35"/>
      <c r="X286" s="35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5"/>
      <c r="V287" s="35"/>
      <c r="W287" s="35"/>
      <c r="X287" s="35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5"/>
      <c r="V288" s="35"/>
      <c r="W288" s="35"/>
      <c r="X288" s="35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5"/>
      <c r="V289" s="35"/>
      <c r="W289" s="35"/>
      <c r="X289" s="35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5"/>
      <c r="V290" s="35"/>
      <c r="W290" s="35"/>
      <c r="X290" s="35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5"/>
      <c r="V291" s="35"/>
      <c r="W291" s="35"/>
      <c r="X291" s="35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5"/>
      <c r="V292" s="35"/>
      <c r="W292" s="35"/>
      <c r="X292" s="35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5"/>
      <c r="V293" s="35"/>
      <c r="W293" s="35"/>
      <c r="X293" s="35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5"/>
      <c r="V294" s="35"/>
      <c r="W294" s="35"/>
      <c r="X294" s="35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5"/>
      <c r="V295" s="35"/>
      <c r="W295" s="35"/>
      <c r="X295" s="35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5"/>
      <c r="V296" s="35"/>
      <c r="W296" s="35"/>
      <c r="X296" s="35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5"/>
      <c r="V297" s="35"/>
      <c r="W297" s="35"/>
      <c r="X297" s="35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5"/>
      <c r="V298" s="35"/>
      <c r="W298" s="35"/>
      <c r="X298" s="35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5"/>
      <c r="V299" s="35"/>
      <c r="W299" s="35"/>
      <c r="X299" s="35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5"/>
      <c r="V300" s="35"/>
      <c r="W300" s="35"/>
      <c r="X300" s="35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5"/>
      <c r="V301" s="35"/>
      <c r="W301" s="35"/>
      <c r="X301" s="35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5"/>
      <c r="V302" s="35"/>
      <c r="W302" s="35"/>
      <c r="X302" s="35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5"/>
      <c r="V303" s="35"/>
      <c r="W303" s="35"/>
      <c r="X303" s="35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5"/>
      <c r="V304" s="35"/>
      <c r="W304" s="35"/>
      <c r="X304" s="35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5"/>
      <c r="V305" s="35"/>
      <c r="W305" s="35"/>
      <c r="X305" s="35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5"/>
      <c r="V306" s="35"/>
      <c r="W306" s="35"/>
      <c r="X306" s="35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5"/>
      <c r="V307" s="35"/>
      <c r="W307" s="35"/>
      <c r="X307" s="35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5"/>
      <c r="V308" s="35"/>
      <c r="W308" s="35"/>
      <c r="X308" s="35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5"/>
      <c r="V309" s="35"/>
      <c r="W309" s="35"/>
      <c r="X309" s="35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5"/>
      <c r="V310" s="35"/>
      <c r="W310" s="35"/>
      <c r="X310" s="35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5"/>
      <c r="V311" s="35"/>
      <c r="W311" s="35"/>
      <c r="X311" s="35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5"/>
      <c r="V312" s="35"/>
      <c r="W312" s="35"/>
      <c r="X312" s="35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5"/>
      <c r="V313" s="35"/>
      <c r="W313" s="35"/>
      <c r="X313" s="35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5"/>
      <c r="V314" s="35"/>
      <c r="W314" s="35"/>
      <c r="X314" s="35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5"/>
      <c r="V315" s="35"/>
      <c r="W315" s="35"/>
      <c r="X315" s="35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5"/>
      <c r="V316" s="35"/>
      <c r="W316" s="35"/>
      <c r="X316" s="35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5"/>
      <c r="V317" s="35"/>
      <c r="W317" s="35"/>
      <c r="X317" s="35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5"/>
      <c r="V318" s="35"/>
      <c r="W318" s="35"/>
      <c r="X318" s="35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5"/>
      <c r="V319" s="35"/>
      <c r="W319" s="35"/>
      <c r="X319" s="35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5"/>
      <c r="V320" s="35"/>
      <c r="W320" s="35"/>
      <c r="X320" s="35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5"/>
      <c r="V321" s="35"/>
      <c r="W321" s="35"/>
      <c r="X321" s="35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5"/>
      <c r="V322" s="35"/>
      <c r="W322" s="35"/>
      <c r="X322" s="35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5"/>
      <c r="V323" s="35"/>
      <c r="W323" s="35"/>
      <c r="X323" s="35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5"/>
      <c r="V324" s="35"/>
      <c r="W324" s="35"/>
      <c r="X324" s="35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5"/>
      <c r="V325" s="35"/>
      <c r="W325" s="35"/>
      <c r="X325" s="35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5"/>
      <c r="V326" s="35"/>
      <c r="W326" s="35"/>
      <c r="X326" s="35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5"/>
      <c r="V327" s="35"/>
      <c r="W327" s="35"/>
      <c r="X327" s="35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5"/>
      <c r="V328" s="35"/>
      <c r="W328" s="35"/>
      <c r="X328" s="35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5"/>
      <c r="V329" s="35"/>
      <c r="W329" s="35"/>
      <c r="X329" s="35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5"/>
      <c r="V330" s="35"/>
      <c r="W330" s="35"/>
      <c r="X330" s="35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5"/>
      <c r="V331" s="35"/>
      <c r="W331" s="35"/>
      <c r="X331" s="35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5"/>
      <c r="V332" s="35"/>
      <c r="W332" s="35"/>
      <c r="X332" s="35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5"/>
      <c r="V333" s="35"/>
      <c r="W333" s="35"/>
      <c r="X333" s="35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5"/>
      <c r="V334" s="35"/>
      <c r="W334" s="35"/>
      <c r="X334" s="35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5"/>
      <c r="V335" s="35"/>
      <c r="W335" s="35"/>
      <c r="X335" s="35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5"/>
      <c r="V336" s="35"/>
      <c r="W336" s="35"/>
      <c r="X336" s="35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5"/>
      <c r="V337" s="35"/>
      <c r="W337" s="35"/>
      <c r="X337" s="35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5"/>
      <c r="V338" s="35"/>
      <c r="W338" s="35"/>
      <c r="X338" s="35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5"/>
      <c r="V339" s="35"/>
      <c r="W339" s="35"/>
      <c r="X339" s="35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5"/>
      <c r="V340" s="35"/>
      <c r="W340" s="35"/>
      <c r="X340" s="35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5"/>
      <c r="V341" s="35"/>
      <c r="W341" s="35"/>
      <c r="X341" s="35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5"/>
      <c r="V342" s="35"/>
      <c r="W342" s="35"/>
      <c r="X342" s="35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5"/>
      <c r="V343" s="35"/>
      <c r="W343" s="35"/>
      <c r="X343" s="35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5"/>
      <c r="V344" s="35"/>
      <c r="W344" s="35"/>
      <c r="X344" s="35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5"/>
      <c r="V345" s="35"/>
      <c r="W345" s="35"/>
      <c r="X345" s="35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5"/>
      <c r="V346" s="35"/>
      <c r="W346" s="35"/>
      <c r="X346" s="35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5"/>
      <c r="V347" s="35"/>
      <c r="W347" s="35"/>
      <c r="X347" s="35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5"/>
      <c r="V348" s="35"/>
      <c r="W348" s="35"/>
      <c r="X348" s="35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5"/>
      <c r="V349" s="35"/>
      <c r="W349" s="35"/>
      <c r="X349" s="35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5"/>
      <c r="V350" s="35"/>
      <c r="W350" s="35"/>
      <c r="X350" s="35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5"/>
      <c r="V351" s="35"/>
      <c r="W351" s="35"/>
      <c r="X351" s="35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5"/>
      <c r="V352" s="35"/>
      <c r="W352" s="35"/>
      <c r="X352" s="35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5"/>
      <c r="V353" s="35"/>
      <c r="W353" s="35"/>
      <c r="X353" s="35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5"/>
      <c r="V354" s="35"/>
      <c r="W354" s="35"/>
      <c r="X354" s="35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5"/>
      <c r="V355" s="35"/>
      <c r="W355" s="35"/>
      <c r="X355" s="35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5"/>
      <c r="V356" s="35"/>
      <c r="W356" s="35"/>
      <c r="X356" s="35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5"/>
      <c r="V357" s="35"/>
      <c r="W357" s="35"/>
      <c r="X357" s="35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5"/>
      <c r="V358" s="35"/>
      <c r="W358" s="35"/>
      <c r="X358" s="35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5"/>
      <c r="V359" s="35"/>
      <c r="W359" s="35"/>
      <c r="X359" s="35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5"/>
      <c r="V360" s="35"/>
      <c r="W360" s="35"/>
      <c r="X360" s="35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5"/>
      <c r="V361" s="35"/>
      <c r="W361" s="35"/>
      <c r="X361" s="35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5"/>
      <c r="V362" s="35"/>
      <c r="W362" s="35"/>
      <c r="X362" s="35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5"/>
      <c r="V363" s="35"/>
      <c r="W363" s="35"/>
      <c r="X363" s="35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5"/>
      <c r="V364" s="35"/>
      <c r="W364" s="35"/>
      <c r="X364" s="35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5"/>
      <c r="V365" s="35"/>
      <c r="W365" s="35"/>
      <c r="X365" s="35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5"/>
      <c r="V366" s="35"/>
      <c r="W366" s="35"/>
      <c r="X366" s="35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5"/>
      <c r="V367" s="35"/>
      <c r="W367" s="35"/>
      <c r="X367" s="35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5"/>
      <c r="V368" s="35"/>
      <c r="W368" s="35"/>
      <c r="X368" s="35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5"/>
      <c r="V369" s="35"/>
      <c r="W369" s="35"/>
      <c r="X369" s="35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5"/>
      <c r="V370" s="35"/>
      <c r="W370" s="35"/>
      <c r="X370" s="35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5"/>
      <c r="V371" s="35"/>
      <c r="W371" s="35"/>
      <c r="X371" s="35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5"/>
      <c r="V372" s="35"/>
      <c r="W372" s="35"/>
      <c r="X372" s="35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5"/>
      <c r="V373" s="35"/>
      <c r="W373" s="35"/>
      <c r="X373" s="35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5"/>
      <c r="V374" s="35"/>
      <c r="W374" s="35"/>
      <c r="X374" s="35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5"/>
      <c r="V375" s="35"/>
      <c r="W375" s="35"/>
      <c r="X375" s="35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5"/>
      <c r="V376" s="35"/>
      <c r="W376" s="35"/>
      <c r="X376" s="35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5"/>
      <c r="V377" s="35"/>
      <c r="W377" s="35"/>
      <c r="X377" s="35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5"/>
      <c r="V378" s="35"/>
      <c r="W378" s="35"/>
      <c r="X378" s="35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5"/>
      <c r="V379" s="35"/>
      <c r="W379" s="35"/>
      <c r="X379" s="35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5"/>
      <c r="V380" s="35"/>
      <c r="W380" s="35"/>
      <c r="X380" s="35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5"/>
      <c r="V381" s="35"/>
      <c r="W381" s="35"/>
      <c r="X381" s="35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5"/>
      <c r="V382" s="35"/>
      <c r="W382" s="35"/>
      <c r="X382" s="35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5"/>
      <c r="V383" s="35"/>
      <c r="W383" s="35"/>
      <c r="X383" s="35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5"/>
      <c r="V384" s="35"/>
      <c r="W384" s="35"/>
      <c r="X384" s="35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5"/>
      <c r="V385" s="35"/>
      <c r="W385" s="35"/>
      <c r="X385" s="35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5"/>
      <c r="V386" s="35"/>
      <c r="W386" s="35"/>
      <c r="X386" s="35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5"/>
      <c r="V387" s="35"/>
      <c r="W387" s="35"/>
      <c r="X387" s="35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5"/>
      <c r="V388" s="35"/>
      <c r="W388" s="35"/>
      <c r="X388" s="35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5"/>
      <c r="V389" s="35"/>
      <c r="W389" s="35"/>
      <c r="X389" s="35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5"/>
      <c r="V390" s="35"/>
      <c r="W390" s="35"/>
      <c r="X390" s="35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5"/>
      <c r="V391" s="35"/>
      <c r="W391" s="35"/>
      <c r="X391" s="35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5"/>
      <c r="V392" s="35"/>
      <c r="W392" s="35"/>
      <c r="X392" s="35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5"/>
      <c r="V393" s="35"/>
      <c r="W393" s="35"/>
      <c r="X393" s="35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5"/>
      <c r="V394" s="35"/>
      <c r="W394" s="35"/>
      <c r="X394" s="35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5"/>
      <c r="V395" s="35"/>
      <c r="W395" s="35"/>
      <c r="X395" s="35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5"/>
      <c r="V396" s="35"/>
      <c r="W396" s="35"/>
      <c r="X396" s="35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5"/>
      <c r="V397" s="35"/>
      <c r="W397" s="35"/>
      <c r="X397" s="35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5"/>
      <c r="V398" s="35"/>
      <c r="W398" s="35"/>
      <c r="X398" s="35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5"/>
      <c r="V399" s="35"/>
      <c r="W399" s="35"/>
      <c r="X399" s="35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5"/>
      <c r="V400" s="35"/>
      <c r="W400" s="35"/>
      <c r="X400" s="35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5"/>
      <c r="V401" s="35"/>
      <c r="W401" s="35"/>
      <c r="X401" s="35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5"/>
      <c r="V402" s="35"/>
      <c r="W402" s="35"/>
      <c r="X402" s="35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5"/>
      <c r="V403" s="35"/>
      <c r="W403" s="35"/>
      <c r="X403" s="35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5"/>
      <c r="V404" s="35"/>
      <c r="W404" s="35"/>
      <c r="X404" s="35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5"/>
      <c r="V405" s="35"/>
      <c r="W405" s="35"/>
      <c r="X405" s="35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5"/>
      <c r="V406" s="35"/>
      <c r="W406" s="35"/>
      <c r="X406" s="35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5"/>
      <c r="V407" s="35"/>
      <c r="W407" s="35"/>
      <c r="X407" s="35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5"/>
      <c r="V408" s="35"/>
      <c r="W408" s="35"/>
      <c r="X408" s="35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5"/>
      <c r="V409" s="35"/>
      <c r="W409" s="35"/>
      <c r="X409" s="35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5"/>
      <c r="V410" s="35"/>
      <c r="W410" s="35"/>
      <c r="X410" s="35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5"/>
      <c r="V411" s="35"/>
      <c r="W411" s="35"/>
      <c r="X411" s="35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5"/>
      <c r="V412" s="35"/>
      <c r="W412" s="35"/>
      <c r="X412" s="35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5"/>
      <c r="V413" s="35"/>
      <c r="W413" s="35"/>
      <c r="X413" s="35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5"/>
      <c r="V414" s="35"/>
      <c r="W414" s="35"/>
      <c r="X414" s="35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5"/>
      <c r="V415" s="35"/>
      <c r="W415" s="35"/>
      <c r="X415" s="35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5"/>
      <c r="V416" s="35"/>
      <c r="W416" s="35"/>
      <c r="X416" s="35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5"/>
      <c r="V417" s="35"/>
      <c r="W417" s="35"/>
      <c r="X417" s="35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5"/>
      <c r="V418" s="35"/>
      <c r="W418" s="35"/>
      <c r="X418" s="35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5"/>
      <c r="V419" s="35"/>
      <c r="W419" s="35"/>
      <c r="X419" s="35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5"/>
      <c r="V420" s="35"/>
      <c r="W420" s="35"/>
      <c r="X420" s="35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5"/>
      <c r="V421" s="35"/>
      <c r="W421" s="35"/>
      <c r="X421" s="35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5"/>
      <c r="V422" s="35"/>
      <c r="W422" s="35"/>
      <c r="X422" s="35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5"/>
      <c r="V423" s="35"/>
      <c r="W423" s="35"/>
      <c r="X423" s="35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5"/>
      <c r="V424" s="35"/>
      <c r="W424" s="35"/>
      <c r="X424" s="35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5"/>
      <c r="V425" s="35"/>
      <c r="W425" s="35"/>
      <c r="X425" s="35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5"/>
      <c r="V426" s="35"/>
      <c r="W426" s="35"/>
      <c r="X426" s="35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5"/>
      <c r="V427" s="35"/>
      <c r="W427" s="35"/>
      <c r="X427" s="35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5"/>
      <c r="V428" s="35"/>
      <c r="W428" s="35"/>
      <c r="X428" s="35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5"/>
      <c r="V429" s="35"/>
      <c r="W429" s="35"/>
      <c r="X429" s="35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5"/>
      <c r="V430" s="35"/>
      <c r="W430" s="35"/>
      <c r="X430" s="35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5"/>
      <c r="V431" s="35"/>
      <c r="W431" s="35"/>
      <c r="X431" s="35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5"/>
      <c r="V432" s="35"/>
      <c r="W432" s="35"/>
      <c r="X432" s="35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5"/>
      <c r="V433" s="35"/>
      <c r="W433" s="35"/>
      <c r="X433" s="35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5"/>
      <c r="V434" s="35"/>
      <c r="W434" s="35"/>
      <c r="X434" s="35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5"/>
      <c r="V435" s="35"/>
      <c r="W435" s="35"/>
      <c r="X435" s="35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5"/>
      <c r="V436" s="35"/>
      <c r="W436" s="35"/>
      <c r="X436" s="35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5"/>
      <c r="V437" s="35"/>
      <c r="W437" s="35"/>
      <c r="X437" s="35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5"/>
      <c r="V438" s="35"/>
      <c r="W438" s="35"/>
      <c r="X438" s="35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5"/>
      <c r="V439" s="35"/>
      <c r="W439" s="35"/>
      <c r="X439" s="35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5"/>
      <c r="V440" s="35"/>
      <c r="W440" s="35"/>
      <c r="X440" s="35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5"/>
      <c r="V441" s="35"/>
      <c r="W441" s="35"/>
      <c r="X441" s="35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5"/>
      <c r="V442" s="35"/>
      <c r="W442" s="35"/>
      <c r="X442" s="35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5"/>
      <c r="V443" s="35"/>
      <c r="W443" s="35"/>
      <c r="X443" s="35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5"/>
      <c r="V444" s="35"/>
      <c r="W444" s="35"/>
      <c r="X444" s="35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5"/>
      <c r="V445" s="35"/>
      <c r="W445" s="35"/>
      <c r="X445" s="35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5"/>
      <c r="V446" s="35"/>
      <c r="W446" s="35"/>
      <c r="X446" s="35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5"/>
      <c r="V447" s="35"/>
      <c r="W447" s="35"/>
      <c r="X447" s="35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5"/>
      <c r="V448" s="35"/>
      <c r="W448" s="35"/>
      <c r="X448" s="35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5"/>
      <c r="V449" s="35"/>
      <c r="W449" s="35"/>
      <c r="X449" s="35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5"/>
      <c r="V450" s="35"/>
      <c r="W450" s="35"/>
      <c r="X450" s="35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5"/>
      <c r="V451" s="35"/>
      <c r="W451" s="35"/>
      <c r="X451" s="35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5"/>
      <c r="V452" s="35"/>
      <c r="W452" s="35"/>
      <c r="X452" s="35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5"/>
      <c r="V453" s="35"/>
      <c r="W453" s="35"/>
      <c r="X453" s="35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5"/>
      <c r="V454" s="35"/>
      <c r="W454" s="35"/>
      <c r="X454" s="35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5"/>
      <c r="V455" s="35"/>
      <c r="W455" s="35"/>
      <c r="X455" s="35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5"/>
      <c r="V456" s="35"/>
      <c r="W456" s="35"/>
      <c r="X456" s="35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5"/>
      <c r="V457" s="35"/>
      <c r="W457" s="35"/>
      <c r="X457" s="35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5"/>
      <c r="V458" s="35"/>
      <c r="W458" s="35"/>
      <c r="X458" s="35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5"/>
      <c r="V459" s="35"/>
      <c r="W459" s="35"/>
      <c r="X459" s="35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5"/>
      <c r="V460" s="35"/>
      <c r="W460" s="35"/>
      <c r="X460" s="35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5"/>
      <c r="V461" s="35"/>
      <c r="W461" s="35"/>
      <c r="X461" s="35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5"/>
      <c r="V462" s="35"/>
      <c r="W462" s="35"/>
      <c r="X462" s="35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5"/>
      <c r="V463" s="35"/>
      <c r="W463" s="35"/>
      <c r="X463" s="35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5"/>
      <c r="V464" s="35"/>
      <c r="W464" s="35"/>
      <c r="X464" s="35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5"/>
      <c r="V465" s="35"/>
      <c r="W465" s="35"/>
      <c r="X465" s="35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5"/>
      <c r="V466" s="35"/>
      <c r="W466" s="35"/>
      <c r="X466" s="35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5"/>
      <c r="V467" s="35"/>
      <c r="W467" s="35"/>
      <c r="X467" s="35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5"/>
      <c r="V468" s="35"/>
      <c r="W468" s="35"/>
      <c r="X468" s="35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5"/>
      <c r="V469" s="35"/>
      <c r="W469" s="35"/>
      <c r="X469" s="35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5"/>
      <c r="V470" s="35"/>
      <c r="W470" s="35"/>
      <c r="X470" s="35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5"/>
      <c r="V471" s="35"/>
      <c r="W471" s="35"/>
      <c r="X471" s="35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5"/>
      <c r="V472" s="35"/>
      <c r="W472" s="35"/>
      <c r="X472" s="35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5"/>
      <c r="V473" s="35"/>
      <c r="W473" s="35"/>
      <c r="X473" s="35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5"/>
      <c r="V474" s="35"/>
      <c r="W474" s="35"/>
      <c r="X474" s="35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5"/>
      <c r="V475" s="35"/>
      <c r="W475" s="35"/>
      <c r="X475" s="35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5"/>
      <c r="V476" s="35"/>
      <c r="W476" s="35"/>
      <c r="X476" s="35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5"/>
      <c r="V477" s="35"/>
      <c r="W477" s="35"/>
      <c r="X477" s="35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5"/>
      <c r="V478" s="35"/>
      <c r="W478" s="35"/>
      <c r="X478" s="35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5"/>
      <c r="V479" s="35"/>
      <c r="W479" s="35"/>
      <c r="X479" s="35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5"/>
      <c r="V480" s="35"/>
      <c r="W480" s="35"/>
      <c r="X480" s="35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5"/>
      <c r="V481" s="35"/>
      <c r="W481" s="35"/>
      <c r="X481" s="35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5"/>
      <c r="V482" s="35"/>
      <c r="W482" s="35"/>
      <c r="X482" s="35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5"/>
      <c r="V483" s="35"/>
      <c r="W483" s="35"/>
      <c r="X483" s="35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5"/>
      <c r="V484" s="35"/>
      <c r="W484" s="35"/>
      <c r="X484" s="35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5"/>
      <c r="V485" s="35"/>
      <c r="W485" s="35"/>
      <c r="X485" s="35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5"/>
      <c r="V486" s="35"/>
      <c r="W486" s="35"/>
      <c r="X486" s="35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5"/>
      <c r="V487" s="35"/>
      <c r="W487" s="35"/>
      <c r="X487" s="35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5"/>
      <c r="V488" s="35"/>
      <c r="W488" s="35"/>
      <c r="X488" s="35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5"/>
      <c r="V489" s="35"/>
      <c r="W489" s="35"/>
      <c r="X489" s="35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5"/>
      <c r="V490" s="35"/>
      <c r="W490" s="35"/>
      <c r="X490" s="35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5"/>
      <c r="V491" s="35"/>
      <c r="W491" s="35"/>
      <c r="X491" s="35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5"/>
      <c r="V492" s="35"/>
      <c r="W492" s="35"/>
      <c r="X492" s="35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5"/>
      <c r="V493" s="35"/>
      <c r="W493" s="35"/>
      <c r="X493" s="35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5"/>
      <c r="V494" s="35"/>
      <c r="W494" s="35"/>
      <c r="X494" s="35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5"/>
      <c r="V495" s="35"/>
      <c r="W495" s="35"/>
      <c r="X495" s="35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5"/>
      <c r="V496" s="35"/>
      <c r="W496" s="35"/>
      <c r="X496" s="35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5"/>
      <c r="V497" s="35"/>
      <c r="W497" s="35"/>
      <c r="X497" s="35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5"/>
      <c r="V498" s="35"/>
      <c r="W498" s="35"/>
      <c r="X498" s="35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5"/>
      <c r="V499" s="35"/>
      <c r="W499" s="35"/>
      <c r="X499" s="35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5"/>
      <c r="V500" s="35"/>
      <c r="W500" s="35"/>
      <c r="X500" s="35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5"/>
      <c r="V501" s="35"/>
      <c r="W501" s="35"/>
      <c r="X501" s="35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5"/>
      <c r="V502" s="35"/>
      <c r="W502" s="35"/>
      <c r="X502" s="35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5"/>
      <c r="V503" s="35"/>
      <c r="W503" s="35"/>
      <c r="X503" s="35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5"/>
      <c r="V504" s="35"/>
      <c r="W504" s="35"/>
      <c r="X504" s="35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5"/>
      <c r="V505" s="35"/>
      <c r="W505" s="35"/>
      <c r="X505" s="35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5"/>
      <c r="V506" s="35"/>
      <c r="W506" s="35"/>
      <c r="X506" s="35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5"/>
      <c r="V507" s="35"/>
      <c r="W507" s="35"/>
      <c r="X507" s="35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5"/>
      <c r="V508" s="35"/>
      <c r="W508" s="35"/>
      <c r="X508" s="35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5"/>
      <c r="V509" s="35"/>
      <c r="W509" s="35"/>
      <c r="X509" s="35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5"/>
      <c r="V510" s="35"/>
      <c r="W510" s="35"/>
      <c r="X510" s="35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5"/>
      <c r="V511" s="35"/>
      <c r="W511" s="35"/>
      <c r="X511" s="35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5"/>
      <c r="V512" s="35"/>
      <c r="W512" s="35"/>
      <c r="X512" s="35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5"/>
      <c r="V513" s="35"/>
      <c r="W513" s="35"/>
      <c r="X513" s="35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5"/>
      <c r="V514" s="35"/>
      <c r="W514" s="35"/>
      <c r="X514" s="35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5"/>
      <c r="V515" s="35"/>
      <c r="W515" s="35"/>
      <c r="X515" s="35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5"/>
      <c r="V516" s="35"/>
      <c r="W516" s="35"/>
      <c r="X516" s="35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5"/>
      <c r="V517" s="35"/>
      <c r="W517" s="35"/>
      <c r="X517" s="35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5"/>
      <c r="V518" s="35"/>
      <c r="W518" s="35"/>
      <c r="X518" s="35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5"/>
      <c r="V519" s="35"/>
      <c r="W519" s="35"/>
      <c r="X519" s="35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5"/>
      <c r="V520" s="35"/>
      <c r="W520" s="35"/>
      <c r="X520" s="35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5"/>
      <c r="V521" s="35"/>
      <c r="W521" s="35"/>
      <c r="X521" s="35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5"/>
      <c r="V522" s="35"/>
      <c r="W522" s="35"/>
      <c r="X522" s="35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5"/>
      <c r="V523" s="35"/>
      <c r="W523" s="35"/>
      <c r="X523" s="35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5"/>
      <c r="V524" s="35"/>
      <c r="W524" s="35"/>
      <c r="X524" s="35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5"/>
      <c r="V525" s="35"/>
      <c r="W525" s="35"/>
      <c r="X525" s="35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5"/>
      <c r="V526" s="35"/>
      <c r="W526" s="35"/>
      <c r="X526" s="35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5"/>
      <c r="V527" s="35"/>
      <c r="W527" s="35"/>
      <c r="X527" s="35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5"/>
      <c r="V528" s="35"/>
      <c r="W528" s="35"/>
      <c r="X528" s="35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5"/>
      <c r="V529" s="35"/>
      <c r="W529" s="35"/>
      <c r="X529" s="35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5"/>
      <c r="V530" s="35"/>
      <c r="W530" s="35"/>
      <c r="X530" s="35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5"/>
      <c r="V531" s="35"/>
      <c r="W531" s="35"/>
      <c r="X531" s="35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5"/>
      <c r="V532" s="35"/>
      <c r="W532" s="35"/>
      <c r="X532" s="35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5"/>
      <c r="V533" s="35"/>
      <c r="W533" s="35"/>
      <c r="X533" s="35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5"/>
      <c r="V534" s="35"/>
      <c r="W534" s="35"/>
      <c r="X534" s="35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5"/>
      <c r="V535" s="35"/>
      <c r="W535" s="35"/>
      <c r="X535" s="35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5"/>
      <c r="V536" s="35"/>
      <c r="W536" s="35"/>
      <c r="X536" s="35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5"/>
      <c r="V537" s="35"/>
      <c r="W537" s="35"/>
      <c r="X537" s="35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5"/>
      <c r="V538" s="35"/>
      <c r="W538" s="35"/>
      <c r="X538" s="35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5"/>
      <c r="V539" s="35"/>
      <c r="W539" s="35"/>
      <c r="X539" s="35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5"/>
      <c r="V540" s="35"/>
      <c r="W540" s="35"/>
      <c r="X540" s="35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5"/>
      <c r="V541" s="35"/>
      <c r="W541" s="35"/>
      <c r="X541" s="35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5"/>
      <c r="V542" s="35"/>
      <c r="W542" s="35"/>
      <c r="X542" s="35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5"/>
      <c r="V543" s="35"/>
      <c r="W543" s="35"/>
      <c r="X543" s="35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5"/>
      <c r="V544" s="35"/>
      <c r="W544" s="35"/>
      <c r="X544" s="35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5"/>
      <c r="V545" s="35"/>
      <c r="W545" s="35"/>
      <c r="X545" s="35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5"/>
      <c r="V546" s="35"/>
      <c r="W546" s="35"/>
      <c r="X546" s="35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5"/>
      <c r="V547" s="35"/>
      <c r="W547" s="35"/>
      <c r="X547" s="35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5"/>
      <c r="V548" s="35"/>
      <c r="W548" s="35"/>
      <c r="X548" s="35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5"/>
      <c r="V549" s="35"/>
      <c r="W549" s="35"/>
      <c r="X549" s="35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5"/>
      <c r="V550" s="35"/>
      <c r="W550" s="35"/>
      <c r="X550" s="35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5"/>
      <c r="V551" s="35"/>
      <c r="W551" s="35"/>
      <c r="X551" s="35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5"/>
      <c r="V552" s="35"/>
      <c r="W552" s="35"/>
      <c r="X552" s="35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5"/>
      <c r="V553" s="35"/>
      <c r="W553" s="35"/>
      <c r="X553" s="35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5"/>
      <c r="V554" s="35"/>
      <c r="W554" s="35"/>
      <c r="X554" s="35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5"/>
      <c r="V555" s="35"/>
      <c r="W555" s="35"/>
      <c r="X555" s="35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5"/>
      <c r="V556" s="35"/>
      <c r="W556" s="35"/>
      <c r="X556" s="35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5"/>
      <c r="V557" s="35"/>
      <c r="W557" s="35"/>
      <c r="X557" s="35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5"/>
      <c r="V558" s="35"/>
      <c r="W558" s="35"/>
      <c r="X558" s="35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5"/>
      <c r="V559" s="35"/>
      <c r="W559" s="35"/>
      <c r="X559" s="35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5"/>
      <c r="V560" s="35"/>
      <c r="W560" s="35"/>
      <c r="X560" s="35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5"/>
      <c r="V561" s="35"/>
      <c r="W561" s="35"/>
      <c r="X561" s="35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5"/>
      <c r="V562" s="35"/>
      <c r="W562" s="35"/>
      <c r="X562" s="35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5"/>
      <c r="V563" s="35"/>
      <c r="W563" s="35"/>
      <c r="X563" s="35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5"/>
      <c r="V564" s="35"/>
      <c r="W564" s="35"/>
      <c r="X564" s="35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5"/>
      <c r="V565" s="35"/>
      <c r="W565" s="35"/>
      <c r="X565" s="35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5"/>
      <c r="V566" s="35"/>
      <c r="W566" s="35"/>
      <c r="X566" s="35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5"/>
      <c r="V567" s="35"/>
      <c r="W567" s="35"/>
      <c r="X567" s="35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5"/>
      <c r="V568" s="35"/>
      <c r="W568" s="35"/>
      <c r="X568" s="35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5"/>
      <c r="V569" s="35"/>
      <c r="W569" s="35"/>
      <c r="X569" s="35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5"/>
      <c r="V570" s="35"/>
      <c r="W570" s="35"/>
      <c r="X570" s="35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5"/>
      <c r="V571" s="35"/>
      <c r="W571" s="35"/>
      <c r="X571" s="35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5"/>
      <c r="V572" s="35"/>
      <c r="W572" s="35"/>
      <c r="X572" s="35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5"/>
      <c r="V573" s="35"/>
      <c r="W573" s="35"/>
      <c r="X573" s="35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5"/>
      <c r="V574" s="35"/>
      <c r="W574" s="35"/>
      <c r="X574" s="35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5"/>
      <c r="V575" s="35"/>
      <c r="W575" s="35"/>
      <c r="X575" s="35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5"/>
      <c r="V576" s="35"/>
      <c r="W576" s="35"/>
      <c r="X576" s="35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5"/>
      <c r="V577" s="35"/>
      <c r="W577" s="35"/>
      <c r="X577" s="35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5"/>
      <c r="V578" s="35"/>
      <c r="W578" s="35"/>
      <c r="X578" s="35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5"/>
      <c r="V579" s="35"/>
      <c r="W579" s="35"/>
      <c r="X579" s="35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5"/>
      <c r="V580" s="35"/>
      <c r="W580" s="35"/>
      <c r="X580" s="35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5"/>
      <c r="V581" s="35"/>
      <c r="W581" s="35"/>
      <c r="X581" s="35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5"/>
      <c r="V582" s="35"/>
      <c r="W582" s="35"/>
      <c r="X582" s="35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5"/>
      <c r="V583" s="35"/>
      <c r="W583" s="35"/>
      <c r="X583" s="35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5"/>
      <c r="V584" s="35"/>
      <c r="W584" s="35"/>
      <c r="X584" s="35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5"/>
      <c r="V585" s="35"/>
      <c r="W585" s="35"/>
      <c r="X585" s="35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5"/>
      <c r="V586" s="35"/>
      <c r="W586" s="35"/>
      <c r="X586" s="35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5"/>
      <c r="V587" s="35"/>
      <c r="W587" s="35"/>
      <c r="X587" s="35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5"/>
      <c r="V588" s="35"/>
      <c r="W588" s="35"/>
      <c r="X588" s="35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5"/>
      <c r="V589" s="35"/>
      <c r="W589" s="35"/>
      <c r="X589" s="35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5"/>
      <c r="V590" s="35"/>
      <c r="W590" s="35"/>
      <c r="X590" s="35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5"/>
      <c r="V591" s="35"/>
      <c r="W591" s="35"/>
      <c r="X591" s="35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5"/>
      <c r="V592" s="35"/>
      <c r="W592" s="35"/>
      <c r="X592" s="35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5"/>
      <c r="V593" s="35"/>
      <c r="W593" s="35"/>
      <c r="X593" s="35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5"/>
      <c r="V594" s="35"/>
      <c r="W594" s="35"/>
      <c r="X594" s="35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5"/>
      <c r="V595" s="35"/>
      <c r="W595" s="35"/>
      <c r="X595" s="35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5"/>
      <c r="V596" s="35"/>
      <c r="W596" s="35"/>
      <c r="X596" s="35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5"/>
      <c r="V597" s="35"/>
      <c r="W597" s="35"/>
      <c r="X597" s="35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5"/>
      <c r="V598" s="35"/>
      <c r="W598" s="35"/>
      <c r="X598" s="35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5"/>
      <c r="V599" s="35"/>
      <c r="W599" s="35"/>
      <c r="X599" s="35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5"/>
      <c r="V600" s="35"/>
      <c r="W600" s="35"/>
      <c r="X600" s="35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5"/>
      <c r="V601" s="35"/>
      <c r="W601" s="35"/>
      <c r="X601" s="35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5"/>
      <c r="V602" s="35"/>
      <c r="W602" s="35"/>
      <c r="X602" s="35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5"/>
      <c r="V603" s="35"/>
      <c r="W603" s="35"/>
      <c r="X603" s="35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5"/>
      <c r="V604" s="35"/>
      <c r="W604" s="35"/>
      <c r="X604" s="35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5"/>
      <c r="V605" s="35"/>
      <c r="W605" s="35"/>
      <c r="X605" s="35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5"/>
      <c r="V606" s="35"/>
      <c r="W606" s="35"/>
      <c r="X606" s="35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5"/>
      <c r="V607" s="35"/>
      <c r="W607" s="35"/>
      <c r="X607" s="35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5"/>
      <c r="V608" s="35"/>
      <c r="W608" s="35"/>
      <c r="X608" s="35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5"/>
      <c r="V609" s="35"/>
      <c r="W609" s="35"/>
      <c r="X609" s="35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5"/>
      <c r="V610" s="35"/>
      <c r="W610" s="35"/>
      <c r="X610" s="35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5"/>
      <c r="V611" s="35"/>
      <c r="W611" s="35"/>
      <c r="X611" s="35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5"/>
      <c r="V612" s="35"/>
      <c r="W612" s="35"/>
      <c r="X612" s="35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5"/>
      <c r="V613" s="35"/>
      <c r="W613" s="35"/>
      <c r="X613" s="35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5"/>
      <c r="V614" s="35"/>
      <c r="W614" s="35"/>
      <c r="X614" s="35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5"/>
      <c r="V615" s="35"/>
      <c r="W615" s="35"/>
      <c r="X615" s="35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5"/>
      <c r="V616" s="35"/>
      <c r="W616" s="35"/>
      <c r="X616" s="35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5"/>
      <c r="V617" s="35"/>
      <c r="W617" s="35"/>
      <c r="X617" s="35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5"/>
      <c r="V618" s="35"/>
      <c r="W618" s="35"/>
      <c r="X618" s="35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5"/>
      <c r="V619" s="35"/>
      <c r="W619" s="35"/>
      <c r="X619" s="35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5"/>
      <c r="V620" s="35"/>
      <c r="W620" s="35"/>
      <c r="X620" s="35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5"/>
      <c r="V621" s="35"/>
      <c r="W621" s="35"/>
      <c r="X621" s="35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5"/>
      <c r="V622" s="35"/>
      <c r="W622" s="35"/>
      <c r="X622" s="35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5"/>
      <c r="V623" s="35"/>
      <c r="W623" s="35"/>
      <c r="X623" s="35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5"/>
      <c r="V624" s="35"/>
      <c r="W624" s="35"/>
      <c r="X624" s="35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5"/>
      <c r="V625" s="35"/>
      <c r="W625" s="35"/>
      <c r="X625" s="35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5"/>
      <c r="V626" s="35"/>
      <c r="W626" s="35"/>
      <c r="X626" s="35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5"/>
      <c r="V627" s="35"/>
      <c r="W627" s="35"/>
      <c r="X627" s="35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5"/>
      <c r="V628" s="35"/>
      <c r="W628" s="35"/>
      <c r="X628" s="35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5"/>
      <c r="V629" s="35"/>
      <c r="W629" s="35"/>
      <c r="X629" s="35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5"/>
      <c r="V630" s="35"/>
      <c r="W630" s="35"/>
      <c r="X630" s="35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5"/>
      <c r="V631" s="35"/>
      <c r="W631" s="35"/>
      <c r="X631" s="35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5"/>
      <c r="V632" s="35"/>
      <c r="W632" s="35"/>
      <c r="X632" s="35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5"/>
      <c r="V633" s="35"/>
      <c r="W633" s="35"/>
      <c r="X633" s="35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5"/>
      <c r="V634" s="35"/>
      <c r="W634" s="35"/>
      <c r="X634" s="35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5"/>
      <c r="V635" s="35"/>
      <c r="W635" s="35"/>
      <c r="X635" s="35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5"/>
      <c r="V636" s="35"/>
      <c r="W636" s="35"/>
      <c r="X636" s="35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5"/>
      <c r="V637" s="35"/>
      <c r="W637" s="35"/>
      <c r="X637" s="35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5"/>
      <c r="V638" s="35"/>
      <c r="W638" s="35"/>
      <c r="X638" s="35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5"/>
      <c r="V639" s="35"/>
      <c r="W639" s="35"/>
      <c r="X639" s="35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5"/>
      <c r="V640" s="35"/>
      <c r="W640" s="35"/>
      <c r="X640" s="35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5"/>
      <c r="V641" s="35"/>
      <c r="W641" s="35"/>
      <c r="X641" s="35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5"/>
      <c r="V642" s="35"/>
      <c r="W642" s="35"/>
      <c r="X642" s="35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5"/>
      <c r="V643" s="35"/>
      <c r="W643" s="35"/>
      <c r="X643" s="35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5"/>
      <c r="V644" s="35"/>
      <c r="W644" s="35"/>
      <c r="X644" s="35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5"/>
      <c r="V645" s="35"/>
      <c r="W645" s="35"/>
      <c r="X645" s="35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5"/>
      <c r="V646" s="35"/>
      <c r="W646" s="35"/>
      <c r="X646" s="35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5"/>
      <c r="V647" s="35"/>
      <c r="W647" s="35"/>
      <c r="X647" s="35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5"/>
      <c r="V648" s="35"/>
      <c r="W648" s="35"/>
      <c r="X648" s="35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5"/>
      <c r="V649" s="35"/>
      <c r="W649" s="35"/>
      <c r="X649" s="35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5"/>
      <c r="V650" s="35"/>
      <c r="W650" s="35"/>
      <c r="X650" s="35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5"/>
      <c r="V651" s="35"/>
      <c r="W651" s="35"/>
      <c r="X651" s="35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5"/>
      <c r="V652" s="35"/>
      <c r="W652" s="35"/>
      <c r="X652" s="35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5"/>
      <c r="V653" s="35"/>
      <c r="W653" s="35"/>
      <c r="X653" s="35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5"/>
      <c r="V654" s="35"/>
      <c r="W654" s="35"/>
      <c r="X654" s="35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5"/>
      <c r="V655" s="35"/>
      <c r="W655" s="35"/>
      <c r="X655" s="35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5"/>
      <c r="V656" s="35"/>
      <c r="W656" s="35"/>
      <c r="X656" s="35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5"/>
      <c r="V657" s="35"/>
      <c r="W657" s="35"/>
      <c r="X657" s="35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5"/>
      <c r="V658" s="35"/>
      <c r="W658" s="35"/>
      <c r="X658" s="35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5"/>
      <c r="V659" s="35"/>
      <c r="W659" s="35"/>
      <c r="X659" s="35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5"/>
      <c r="V660" s="35"/>
      <c r="W660" s="35"/>
      <c r="X660" s="35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5"/>
      <c r="V661" s="35"/>
      <c r="W661" s="35"/>
      <c r="X661" s="35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5"/>
      <c r="V662" s="35"/>
      <c r="W662" s="35"/>
      <c r="X662" s="35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5"/>
      <c r="V663" s="35"/>
      <c r="W663" s="35"/>
      <c r="X663" s="35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5"/>
      <c r="V664" s="35"/>
      <c r="W664" s="35"/>
      <c r="X664" s="35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5"/>
      <c r="V665" s="35"/>
      <c r="W665" s="35"/>
      <c r="X665" s="35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5"/>
      <c r="V666" s="35"/>
      <c r="W666" s="35"/>
      <c r="X666" s="35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5"/>
      <c r="V667" s="35"/>
      <c r="W667" s="35"/>
      <c r="X667" s="35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5"/>
      <c r="V668" s="35"/>
      <c r="W668" s="35"/>
      <c r="X668" s="35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5"/>
      <c r="V669" s="35"/>
      <c r="W669" s="35"/>
      <c r="X669" s="35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5"/>
      <c r="V670" s="35"/>
      <c r="W670" s="35"/>
      <c r="X670" s="35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5"/>
      <c r="V671" s="35"/>
      <c r="W671" s="35"/>
      <c r="X671" s="35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5"/>
      <c r="V672" s="35"/>
      <c r="W672" s="35"/>
      <c r="X672" s="35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5"/>
      <c r="V673" s="35"/>
      <c r="W673" s="35"/>
      <c r="X673" s="35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5"/>
      <c r="V674" s="35"/>
      <c r="W674" s="35"/>
      <c r="X674" s="35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5"/>
      <c r="V675" s="35"/>
      <c r="W675" s="35"/>
      <c r="X675" s="35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5"/>
      <c r="V676" s="35"/>
      <c r="W676" s="35"/>
      <c r="X676" s="35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5"/>
      <c r="V677" s="35"/>
      <c r="W677" s="35"/>
      <c r="X677" s="35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5"/>
      <c r="V678" s="35"/>
      <c r="W678" s="35"/>
      <c r="X678" s="35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5"/>
      <c r="V679" s="35"/>
      <c r="W679" s="35"/>
      <c r="X679" s="35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5"/>
      <c r="V680" s="35"/>
      <c r="W680" s="35"/>
      <c r="X680" s="35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5"/>
      <c r="V681" s="35"/>
      <c r="W681" s="35"/>
      <c r="X681" s="35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5"/>
      <c r="V682" s="35"/>
      <c r="W682" s="35"/>
      <c r="X682" s="35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5"/>
      <c r="V683" s="35"/>
      <c r="W683" s="35"/>
      <c r="X683" s="35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5"/>
      <c r="V684" s="35"/>
      <c r="W684" s="35"/>
      <c r="X684" s="35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5"/>
      <c r="V685" s="35"/>
      <c r="W685" s="35"/>
      <c r="X685" s="35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5"/>
      <c r="V686" s="35"/>
      <c r="W686" s="35"/>
      <c r="X686" s="35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5"/>
      <c r="V687" s="35"/>
      <c r="W687" s="35"/>
      <c r="X687" s="35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5"/>
      <c r="V688" s="35"/>
      <c r="W688" s="35"/>
      <c r="X688" s="35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5"/>
      <c r="V689" s="35"/>
      <c r="W689" s="35"/>
      <c r="X689" s="35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5"/>
      <c r="V690" s="35"/>
      <c r="W690" s="35"/>
      <c r="X690" s="35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5"/>
      <c r="V691" s="35"/>
      <c r="W691" s="35"/>
      <c r="X691" s="35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5"/>
      <c r="V692" s="35"/>
      <c r="W692" s="35"/>
      <c r="X692" s="35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5"/>
      <c r="V693" s="35"/>
      <c r="W693" s="35"/>
      <c r="X693" s="35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5"/>
      <c r="V694" s="35"/>
      <c r="W694" s="35"/>
      <c r="X694" s="35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5"/>
      <c r="V695" s="35"/>
      <c r="W695" s="35"/>
      <c r="X695" s="35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5"/>
      <c r="V696" s="35"/>
      <c r="W696" s="35"/>
      <c r="X696" s="35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5"/>
      <c r="V697" s="35"/>
      <c r="W697" s="35"/>
      <c r="X697" s="35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5"/>
      <c r="V698" s="35"/>
      <c r="W698" s="35"/>
      <c r="X698" s="35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5"/>
      <c r="V699" s="35"/>
      <c r="W699" s="35"/>
      <c r="X699" s="35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5"/>
      <c r="V700" s="35"/>
      <c r="W700" s="35"/>
      <c r="X700" s="35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5"/>
      <c r="V701" s="35"/>
      <c r="W701" s="35"/>
      <c r="X701" s="35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5"/>
      <c r="V702" s="35"/>
      <c r="W702" s="35"/>
      <c r="X702" s="35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5"/>
      <c r="V703" s="35"/>
      <c r="W703" s="35"/>
      <c r="X703" s="35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5"/>
      <c r="V704" s="35"/>
      <c r="W704" s="35"/>
      <c r="X704" s="35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5"/>
      <c r="V705" s="35"/>
      <c r="W705" s="35"/>
      <c r="X705" s="35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5"/>
      <c r="V706" s="35"/>
      <c r="W706" s="35"/>
      <c r="X706" s="35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5"/>
      <c r="V707" s="35"/>
      <c r="W707" s="35"/>
      <c r="X707" s="35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5"/>
      <c r="V708" s="35"/>
      <c r="W708" s="35"/>
      <c r="X708" s="35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5"/>
      <c r="V709" s="35"/>
      <c r="W709" s="35"/>
      <c r="X709" s="35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5"/>
      <c r="V710" s="35"/>
      <c r="W710" s="35"/>
      <c r="X710" s="35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5"/>
      <c r="V711" s="35"/>
      <c r="W711" s="35"/>
      <c r="X711" s="35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5"/>
      <c r="V712" s="35"/>
      <c r="W712" s="35"/>
      <c r="X712" s="35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5"/>
      <c r="V713" s="35"/>
      <c r="W713" s="35"/>
      <c r="X713" s="35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5"/>
      <c r="V714" s="35"/>
      <c r="W714" s="35"/>
      <c r="X714" s="35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5"/>
      <c r="V715" s="35"/>
      <c r="W715" s="35"/>
      <c r="X715" s="35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5"/>
      <c r="V716" s="35"/>
      <c r="W716" s="35"/>
      <c r="X716" s="35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5"/>
      <c r="V717" s="35"/>
      <c r="W717" s="35"/>
      <c r="X717" s="35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5"/>
      <c r="V718" s="35"/>
      <c r="W718" s="35"/>
      <c r="X718" s="35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5"/>
      <c r="V719" s="35"/>
      <c r="W719" s="35"/>
      <c r="X719" s="35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5"/>
      <c r="V720" s="35"/>
      <c r="W720" s="35"/>
      <c r="X720" s="35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5"/>
      <c r="V721" s="35"/>
      <c r="W721" s="35"/>
      <c r="X721" s="35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5"/>
      <c r="V722" s="35"/>
      <c r="W722" s="35"/>
      <c r="X722" s="35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5"/>
      <c r="V723" s="35"/>
      <c r="W723" s="35"/>
      <c r="X723" s="35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5"/>
      <c r="V724" s="35"/>
      <c r="W724" s="35"/>
      <c r="X724" s="35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5"/>
      <c r="V725" s="35"/>
      <c r="W725" s="35"/>
      <c r="X725" s="35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5"/>
      <c r="V726" s="35"/>
      <c r="W726" s="35"/>
      <c r="X726" s="35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5"/>
      <c r="V727" s="35"/>
      <c r="W727" s="35"/>
      <c r="X727" s="35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5"/>
      <c r="V728" s="35"/>
      <c r="W728" s="35"/>
      <c r="X728" s="35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5"/>
      <c r="V729" s="35"/>
      <c r="W729" s="35"/>
      <c r="X729" s="35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5"/>
      <c r="V730" s="35"/>
      <c r="W730" s="35"/>
      <c r="X730" s="35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5"/>
      <c r="V731" s="35"/>
      <c r="W731" s="35"/>
      <c r="X731" s="35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5"/>
      <c r="V732" s="35"/>
      <c r="W732" s="35"/>
      <c r="X732" s="35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5"/>
      <c r="V733" s="35"/>
      <c r="W733" s="35"/>
      <c r="X733" s="35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5"/>
      <c r="V734" s="35"/>
      <c r="W734" s="35"/>
      <c r="X734" s="35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5"/>
      <c r="V735" s="35"/>
      <c r="W735" s="35"/>
      <c r="X735" s="35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5"/>
      <c r="V736" s="35"/>
      <c r="W736" s="35"/>
      <c r="X736" s="35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5"/>
      <c r="V737" s="35"/>
      <c r="W737" s="35"/>
      <c r="X737" s="35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5"/>
      <c r="V738" s="35"/>
      <c r="W738" s="35"/>
      <c r="X738" s="35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5"/>
      <c r="V739" s="35"/>
      <c r="W739" s="35"/>
      <c r="X739" s="35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5"/>
      <c r="V740" s="35"/>
      <c r="W740" s="35"/>
      <c r="X740" s="35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5"/>
      <c r="V741" s="35"/>
      <c r="W741" s="35"/>
      <c r="X741" s="35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5"/>
      <c r="V742" s="35"/>
      <c r="W742" s="35"/>
      <c r="X742" s="35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5"/>
      <c r="V743" s="35"/>
      <c r="W743" s="35"/>
      <c r="X743" s="35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5"/>
      <c r="V744" s="35"/>
      <c r="W744" s="35"/>
      <c r="X744" s="35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5"/>
      <c r="V745" s="35"/>
      <c r="W745" s="35"/>
      <c r="X745" s="35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5"/>
      <c r="V746" s="35"/>
      <c r="W746" s="35"/>
      <c r="X746" s="35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5"/>
      <c r="V747" s="35"/>
      <c r="W747" s="35"/>
      <c r="X747" s="35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5"/>
      <c r="V748" s="35"/>
      <c r="W748" s="35"/>
      <c r="X748" s="35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5"/>
      <c r="V749" s="35"/>
      <c r="W749" s="35"/>
      <c r="X749" s="35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5"/>
      <c r="V750" s="35"/>
      <c r="W750" s="35"/>
      <c r="X750" s="35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5"/>
      <c r="V751" s="35"/>
      <c r="W751" s="35"/>
      <c r="X751" s="35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5"/>
      <c r="V752" s="35"/>
      <c r="W752" s="35"/>
      <c r="X752" s="35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5"/>
      <c r="V753" s="35"/>
      <c r="W753" s="35"/>
      <c r="X753" s="35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5"/>
      <c r="V754" s="35"/>
      <c r="W754" s="35"/>
      <c r="X754" s="35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5"/>
      <c r="V755" s="35"/>
      <c r="W755" s="35"/>
      <c r="X755" s="35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5"/>
      <c r="V756" s="35"/>
      <c r="W756" s="35"/>
      <c r="X756" s="35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5"/>
      <c r="V757" s="35"/>
      <c r="W757" s="35"/>
      <c r="X757" s="35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5"/>
      <c r="V758" s="35"/>
      <c r="W758" s="35"/>
      <c r="X758" s="35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5"/>
      <c r="V759" s="35"/>
      <c r="W759" s="35"/>
      <c r="X759" s="35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5"/>
      <c r="V760" s="35"/>
      <c r="W760" s="35"/>
      <c r="X760" s="35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5"/>
      <c r="V761" s="35"/>
      <c r="W761" s="35"/>
      <c r="X761" s="35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5"/>
      <c r="V762" s="35"/>
      <c r="W762" s="35"/>
      <c r="X762" s="35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5"/>
      <c r="V763" s="35"/>
      <c r="W763" s="35"/>
      <c r="X763" s="35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5"/>
      <c r="V764" s="35"/>
      <c r="W764" s="35"/>
      <c r="X764" s="35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5"/>
      <c r="V765" s="35"/>
      <c r="W765" s="35"/>
      <c r="X765" s="35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5"/>
      <c r="V766" s="35"/>
      <c r="W766" s="35"/>
      <c r="X766" s="35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5"/>
      <c r="V767" s="35"/>
      <c r="W767" s="35"/>
      <c r="X767" s="35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5"/>
      <c r="V768" s="35"/>
      <c r="W768" s="35"/>
      <c r="X768" s="35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5"/>
      <c r="V769" s="35"/>
      <c r="W769" s="35"/>
      <c r="X769" s="35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5"/>
      <c r="V770" s="35"/>
      <c r="W770" s="35"/>
      <c r="X770" s="35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5"/>
      <c r="V771" s="35"/>
      <c r="W771" s="35"/>
      <c r="X771" s="35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5"/>
      <c r="V772" s="35"/>
      <c r="W772" s="35"/>
      <c r="X772" s="35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5"/>
      <c r="V773" s="35"/>
      <c r="W773" s="35"/>
      <c r="X773" s="35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5"/>
      <c r="V774" s="35"/>
      <c r="W774" s="35"/>
      <c r="X774" s="35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5"/>
      <c r="V775" s="35"/>
      <c r="W775" s="35"/>
      <c r="X775" s="35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5"/>
      <c r="V776" s="35"/>
      <c r="W776" s="35"/>
      <c r="X776" s="35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5"/>
      <c r="V777" s="35"/>
      <c r="W777" s="35"/>
      <c r="X777" s="35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5"/>
      <c r="V778" s="35"/>
      <c r="W778" s="35"/>
      <c r="X778" s="35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5"/>
      <c r="V779" s="35"/>
      <c r="W779" s="35"/>
      <c r="X779" s="35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5"/>
      <c r="V780" s="35"/>
      <c r="W780" s="35"/>
      <c r="X780" s="35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5"/>
      <c r="V781" s="35"/>
      <c r="W781" s="35"/>
      <c r="X781" s="35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5"/>
      <c r="V782" s="35"/>
      <c r="W782" s="35"/>
      <c r="X782" s="35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5"/>
      <c r="V783" s="35"/>
      <c r="W783" s="35"/>
      <c r="X783" s="35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5"/>
      <c r="V784" s="35"/>
      <c r="W784" s="35"/>
      <c r="X784" s="35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5"/>
      <c r="V785" s="35"/>
      <c r="W785" s="35"/>
      <c r="X785" s="35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5"/>
      <c r="V786" s="35"/>
      <c r="W786" s="35"/>
      <c r="X786" s="35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5"/>
      <c r="V787" s="35"/>
      <c r="W787" s="35"/>
      <c r="X787" s="35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5"/>
      <c r="V788" s="35"/>
      <c r="W788" s="35"/>
      <c r="X788" s="35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5"/>
      <c r="V789" s="35"/>
      <c r="W789" s="35"/>
      <c r="X789" s="35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5"/>
      <c r="V790" s="35"/>
      <c r="W790" s="35"/>
      <c r="X790" s="35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5"/>
      <c r="V791" s="35"/>
      <c r="W791" s="35"/>
      <c r="X791" s="35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5"/>
      <c r="V792" s="35"/>
      <c r="W792" s="35"/>
      <c r="X792" s="35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5"/>
      <c r="V793" s="35"/>
      <c r="W793" s="35"/>
      <c r="X793" s="35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5"/>
      <c r="V794" s="35"/>
      <c r="W794" s="35"/>
      <c r="X794" s="35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5"/>
      <c r="V795" s="35"/>
      <c r="W795" s="35"/>
      <c r="X795" s="35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5"/>
      <c r="V796" s="35"/>
      <c r="W796" s="35"/>
      <c r="X796" s="35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5"/>
      <c r="V797" s="35"/>
      <c r="W797" s="35"/>
      <c r="X797" s="35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5"/>
      <c r="V798" s="35"/>
      <c r="W798" s="35"/>
      <c r="X798" s="35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5"/>
      <c r="V799" s="35"/>
      <c r="W799" s="35"/>
      <c r="X799" s="35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5"/>
      <c r="V800" s="35"/>
      <c r="W800" s="35"/>
      <c r="X800" s="35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5"/>
      <c r="V801" s="35"/>
      <c r="W801" s="35"/>
      <c r="X801" s="35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5"/>
      <c r="V802" s="35"/>
      <c r="W802" s="35"/>
      <c r="X802" s="35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5"/>
      <c r="V803" s="35"/>
      <c r="W803" s="35"/>
      <c r="X803" s="35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5"/>
      <c r="V804" s="35"/>
      <c r="W804" s="35"/>
      <c r="X804" s="35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5"/>
      <c r="V805" s="35"/>
      <c r="W805" s="35"/>
      <c r="X805" s="35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5"/>
      <c r="V806" s="35"/>
      <c r="W806" s="35"/>
      <c r="X806" s="35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5"/>
      <c r="V807" s="35"/>
      <c r="W807" s="35"/>
      <c r="X807" s="35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5"/>
      <c r="V808" s="35"/>
      <c r="W808" s="35"/>
      <c r="X808" s="35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5"/>
      <c r="V809" s="35"/>
      <c r="W809" s="35"/>
      <c r="X809" s="35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5"/>
      <c r="V810" s="35"/>
      <c r="W810" s="35"/>
      <c r="X810" s="35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5"/>
      <c r="V811" s="35"/>
      <c r="W811" s="35"/>
      <c r="X811" s="35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5"/>
      <c r="V812" s="35"/>
      <c r="W812" s="35"/>
      <c r="X812" s="35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5"/>
      <c r="V813" s="35"/>
      <c r="W813" s="35"/>
      <c r="X813" s="35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5"/>
      <c r="V814" s="35"/>
      <c r="W814" s="35"/>
      <c r="X814" s="35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5"/>
      <c r="V815" s="35"/>
      <c r="W815" s="35"/>
      <c r="X815" s="35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5"/>
      <c r="V816" s="35"/>
      <c r="W816" s="35"/>
      <c r="X816" s="35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5"/>
      <c r="V817" s="35"/>
      <c r="W817" s="35"/>
      <c r="X817" s="35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5"/>
      <c r="V818" s="35"/>
      <c r="W818" s="35"/>
      <c r="X818" s="35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5"/>
      <c r="V819" s="35"/>
      <c r="W819" s="35"/>
      <c r="X819" s="35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5"/>
      <c r="V820" s="35"/>
      <c r="W820" s="35"/>
      <c r="X820" s="35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5"/>
      <c r="V821" s="35"/>
      <c r="W821" s="35"/>
      <c r="X821" s="35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5"/>
      <c r="V822" s="35"/>
      <c r="W822" s="35"/>
      <c r="X822" s="35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5"/>
      <c r="V823" s="35"/>
      <c r="W823" s="35"/>
      <c r="X823" s="35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5"/>
      <c r="V824" s="35"/>
      <c r="W824" s="35"/>
      <c r="X824" s="35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5"/>
      <c r="V825" s="35"/>
      <c r="W825" s="35"/>
      <c r="X825" s="35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5"/>
      <c r="V826" s="35"/>
      <c r="W826" s="35"/>
      <c r="X826" s="35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5"/>
      <c r="V827" s="35"/>
      <c r="W827" s="35"/>
      <c r="X827" s="35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5"/>
      <c r="V828" s="35"/>
      <c r="W828" s="35"/>
      <c r="X828" s="35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5"/>
      <c r="V829" s="35"/>
      <c r="W829" s="35"/>
      <c r="X829" s="35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5"/>
      <c r="V830" s="35"/>
      <c r="W830" s="35"/>
      <c r="X830" s="35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5"/>
      <c r="V831" s="35"/>
      <c r="W831" s="35"/>
      <c r="X831" s="35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5"/>
      <c r="V832" s="35"/>
      <c r="W832" s="35"/>
      <c r="X832" s="35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5"/>
      <c r="V833" s="35"/>
      <c r="W833" s="35"/>
      <c r="X833" s="35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5"/>
      <c r="V834" s="35"/>
      <c r="W834" s="35"/>
      <c r="X834" s="35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5"/>
      <c r="V835" s="35"/>
      <c r="W835" s="35"/>
      <c r="X835" s="35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5"/>
      <c r="V836" s="35"/>
      <c r="W836" s="35"/>
      <c r="X836" s="35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5"/>
      <c r="V837" s="35"/>
      <c r="W837" s="35"/>
      <c r="X837" s="35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5"/>
      <c r="V838" s="35"/>
      <c r="W838" s="35"/>
      <c r="X838" s="35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5"/>
      <c r="V839" s="35"/>
      <c r="W839" s="35"/>
      <c r="X839" s="35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5"/>
      <c r="V840" s="35"/>
      <c r="W840" s="35"/>
      <c r="X840" s="35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5"/>
      <c r="V841" s="35"/>
      <c r="W841" s="35"/>
      <c r="X841" s="35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5"/>
      <c r="V842" s="35"/>
      <c r="W842" s="35"/>
      <c r="X842" s="35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5"/>
      <c r="V843" s="35"/>
      <c r="W843" s="35"/>
      <c r="X843" s="35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5"/>
      <c r="V844" s="35"/>
      <c r="W844" s="35"/>
      <c r="X844" s="35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5"/>
      <c r="V845" s="35"/>
      <c r="W845" s="35"/>
      <c r="X845" s="35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5"/>
      <c r="V846" s="35"/>
      <c r="W846" s="35"/>
      <c r="X846" s="35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5"/>
      <c r="V847" s="35"/>
      <c r="W847" s="35"/>
      <c r="X847" s="35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5"/>
      <c r="V848" s="35"/>
      <c r="W848" s="35"/>
      <c r="X848" s="35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5"/>
      <c r="V849" s="35"/>
      <c r="W849" s="35"/>
      <c r="X849" s="35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5"/>
      <c r="V850" s="35"/>
      <c r="W850" s="35"/>
      <c r="X850" s="35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5"/>
      <c r="V851" s="35"/>
      <c r="W851" s="35"/>
      <c r="X851" s="35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5"/>
      <c r="V852" s="35"/>
      <c r="W852" s="35"/>
      <c r="X852" s="35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5"/>
      <c r="V853" s="35"/>
      <c r="W853" s="35"/>
      <c r="X853" s="35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5"/>
      <c r="V854" s="35"/>
      <c r="W854" s="35"/>
      <c r="X854" s="35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5"/>
      <c r="V855" s="35"/>
      <c r="W855" s="35"/>
      <c r="X855" s="35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5"/>
      <c r="V856" s="35"/>
      <c r="W856" s="35"/>
      <c r="X856" s="35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5"/>
      <c r="V857" s="35"/>
      <c r="W857" s="35"/>
      <c r="X857" s="35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5"/>
      <c r="V858" s="35"/>
      <c r="W858" s="35"/>
      <c r="X858" s="35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5"/>
      <c r="V859" s="35"/>
      <c r="W859" s="35"/>
      <c r="X859" s="35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5"/>
      <c r="V860" s="35"/>
      <c r="W860" s="35"/>
      <c r="X860" s="35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5"/>
      <c r="V861" s="35"/>
      <c r="W861" s="35"/>
      <c r="X861" s="35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5"/>
      <c r="V862" s="35"/>
      <c r="W862" s="35"/>
      <c r="X862" s="35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5"/>
      <c r="V863" s="35"/>
      <c r="W863" s="35"/>
      <c r="X863" s="35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5"/>
      <c r="V864" s="35"/>
      <c r="W864" s="35"/>
      <c r="X864" s="35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5"/>
      <c r="V865" s="35"/>
      <c r="W865" s="35"/>
      <c r="X865" s="35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5"/>
      <c r="V866" s="35"/>
      <c r="W866" s="35"/>
      <c r="X866" s="35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5"/>
      <c r="V867" s="35"/>
      <c r="W867" s="35"/>
      <c r="X867" s="35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5"/>
      <c r="V868" s="35"/>
      <c r="W868" s="35"/>
      <c r="X868" s="35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5"/>
      <c r="V869" s="35"/>
      <c r="W869" s="35"/>
      <c r="X869" s="35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5"/>
      <c r="V870" s="35"/>
      <c r="W870" s="35"/>
      <c r="X870" s="35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5"/>
      <c r="V871" s="35"/>
      <c r="W871" s="35"/>
      <c r="X871" s="35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5"/>
      <c r="V872" s="35"/>
      <c r="W872" s="35"/>
      <c r="X872" s="35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5"/>
      <c r="V873" s="35"/>
      <c r="W873" s="35"/>
      <c r="X873" s="35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5"/>
      <c r="V874" s="35"/>
      <c r="W874" s="35"/>
      <c r="X874" s="35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5"/>
      <c r="V875" s="35"/>
      <c r="W875" s="35"/>
      <c r="X875" s="35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5"/>
      <c r="V876" s="35"/>
      <c r="W876" s="35"/>
      <c r="X876" s="35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5"/>
      <c r="V877" s="35"/>
      <c r="W877" s="35"/>
      <c r="X877" s="35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5"/>
      <c r="V878" s="35"/>
      <c r="W878" s="35"/>
      <c r="X878" s="35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5"/>
      <c r="V879" s="35"/>
      <c r="W879" s="35"/>
      <c r="X879" s="35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5"/>
      <c r="V880" s="35"/>
      <c r="W880" s="35"/>
      <c r="X880" s="35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5"/>
      <c r="V881" s="35"/>
      <c r="W881" s="35"/>
      <c r="X881" s="35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5"/>
      <c r="V882" s="35"/>
      <c r="W882" s="35"/>
      <c r="X882" s="35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5"/>
      <c r="V883" s="35"/>
      <c r="W883" s="35"/>
      <c r="X883" s="35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5"/>
      <c r="V884" s="35"/>
      <c r="W884" s="35"/>
      <c r="X884" s="35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5"/>
      <c r="V885" s="35"/>
      <c r="W885" s="35"/>
      <c r="X885" s="35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5"/>
      <c r="V886" s="35"/>
      <c r="W886" s="35"/>
      <c r="X886" s="35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5"/>
      <c r="V887" s="35"/>
      <c r="W887" s="35"/>
      <c r="X887" s="35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5"/>
      <c r="V888" s="35"/>
      <c r="W888" s="35"/>
      <c r="X888" s="35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5"/>
      <c r="V889" s="35"/>
      <c r="W889" s="35"/>
      <c r="X889" s="35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5"/>
      <c r="V890" s="35"/>
      <c r="W890" s="35"/>
      <c r="X890" s="35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5"/>
      <c r="V891" s="35"/>
      <c r="W891" s="35"/>
      <c r="X891" s="35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5"/>
      <c r="V892" s="35"/>
      <c r="W892" s="35"/>
      <c r="X892" s="35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5"/>
      <c r="V893" s="35"/>
      <c r="W893" s="35"/>
      <c r="X893" s="35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5"/>
      <c r="V894" s="35"/>
      <c r="W894" s="35"/>
      <c r="X894" s="35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5"/>
      <c r="V895" s="35"/>
      <c r="W895" s="35"/>
      <c r="X895" s="35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5"/>
      <c r="V896" s="35"/>
      <c r="W896" s="35"/>
      <c r="X896" s="35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5"/>
      <c r="V897" s="35"/>
      <c r="W897" s="35"/>
      <c r="X897" s="35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5"/>
      <c r="V898" s="35"/>
      <c r="W898" s="35"/>
      <c r="X898" s="35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5"/>
      <c r="V899" s="35"/>
      <c r="W899" s="35"/>
      <c r="X899" s="35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5"/>
      <c r="V900" s="35"/>
      <c r="W900" s="35"/>
      <c r="X900" s="35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5"/>
      <c r="V901" s="35"/>
      <c r="W901" s="35"/>
      <c r="X901" s="35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5"/>
      <c r="V902" s="35"/>
      <c r="W902" s="35"/>
      <c r="X902" s="35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5"/>
      <c r="V903" s="35"/>
      <c r="W903" s="35"/>
      <c r="X903" s="35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5"/>
      <c r="V904" s="35"/>
      <c r="W904" s="35"/>
      <c r="X904" s="35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5"/>
      <c r="V905" s="35"/>
      <c r="W905" s="35"/>
      <c r="X905" s="35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5"/>
      <c r="V906" s="35"/>
      <c r="W906" s="35"/>
      <c r="X906" s="35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5"/>
      <c r="V907" s="35"/>
      <c r="W907" s="35"/>
      <c r="X907" s="35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5"/>
      <c r="V908" s="35"/>
      <c r="W908" s="35"/>
      <c r="X908" s="35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5"/>
      <c r="V909" s="35"/>
      <c r="W909" s="35"/>
      <c r="X909" s="35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5"/>
      <c r="V910" s="35"/>
      <c r="W910" s="35"/>
      <c r="X910" s="35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5"/>
      <c r="V911" s="35"/>
      <c r="W911" s="35"/>
      <c r="X911" s="35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5"/>
      <c r="V912" s="35"/>
      <c r="W912" s="35"/>
      <c r="X912" s="35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5"/>
      <c r="V913" s="35"/>
      <c r="W913" s="35"/>
      <c r="X913" s="35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5"/>
      <c r="V914" s="35"/>
      <c r="W914" s="35"/>
      <c r="X914" s="35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5"/>
      <c r="V915" s="35"/>
      <c r="W915" s="35"/>
      <c r="X915" s="35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5"/>
      <c r="V916" s="35"/>
      <c r="W916" s="35"/>
      <c r="X916" s="35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5"/>
      <c r="V917" s="35"/>
      <c r="W917" s="35"/>
      <c r="X917" s="35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5"/>
      <c r="V918" s="35"/>
      <c r="W918" s="35"/>
      <c r="X918" s="35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5"/>
      <c r="V919" s="35"/>
      <c r="W919" s="35"/>
      <c r="X919" s="35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5"/>
      <c r="V920" s="35"/>
      <c r="W920" s="35"/>
      <c r="X920" s="35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5"/>
      <c r="V921" s="35"/>
      <c r="W921" s="35"/>
      <c r="X921" s="35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5"/>
      <c r="V922" s="35"/>
      <c r="W922" s="35"/>
      <c r="X922" s="35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5"/>
      <c r="V923" s="35"/>
      <c r="W923" s="35"/>
      <c r="X923" s="35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5"/>
      <c r="V924" s="35"/>
      <c r="W924" s="35"/>
      <c r="X924" s="35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5"/>
      <c r="V925" s="35"/>
      <c r="W925" s="35"/>
      <c r="X925" s="35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5"/>
      <c r="V926" s="35"/>
      <c r="W926" s="35"/>
      <c r="X926" s="35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5"/>
      <c r="V927" s="35"/>
      <c r="W927" s="35"/>
      <c r="X927" s="35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5"/>
      <c r="V928" s="35"/>
      <c r="W928" s="35"/>
      <c r="X928" s="35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5"/>
      <c r="V929" s="35"/>
      <c r="W929" s="35"/>
      <c r="X929" s="35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5"/>
      <c r="V930" s="35"/>
      <c r="W930" s="35"/>
      <c r="X930" s="35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5"/>
      <c r="V931" s="35"/>
      <c r="W931" s="35"/>
      <c r="X931" s="35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5"/>
      <c r="V932" s="35"/>
      <c r="W932" s="35"/>
      <c r="X932" s="35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5"/>
      <c r="V933" s="35"/>
      <c r="W933" s="35"/>
      <c r="X933" s="35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5"/>
      <c r="V934" s="35"/>
      <c r="W934" s="35"/>
      <c r="X934" s="35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5"/>
      <c r="V935" s="35"/>
      <c r="W935" s="35"/>
      <c r="X935" s="35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5"/>
      <c r="V936" s="35"/>
      <c r="W936" s="35"/>
      <c r="X936" s="35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5"/>
      <c r="V937" s="35"/>
      <c r="W937" s="35"/>
      <c r="X937" s="35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5"/>
      <c r="V938" s="35"/>
      <c r="W938" s="35"/>
      <c r="X938" s="35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5"/>
      <c r="V939" s="35"/>
      <c r="W939" s="35"/>
      <c r="X939" s="35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5"/>
      <c r="V940" s="35"/>
      <c r="W940" s="35"/>
      <c r="X940" s="35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5"/>
      <c r="V941" s="35"/>
      <c r="W941" s="35"/>
      <c r="X941" s="35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5"/>
      <c r="V942" s="35"/>
      <c r="W942" s="35"/>
      <c r="X942" s="35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5"/>
      <c r="V943" s="35"/>
      <c r="W943" s="35"/>
      <c r="X943" s="35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5"/>
      <c r="V944" s="35"/>
      <c r="W944" s="35"/>
      <c r="X944" s="35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5"/>
      <c r="V945" s="35"/>
      <c r="W945" s="35"/>
      <c r="X945" s="35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5"/>
      <c r="V946" s="35"/>
      <c r="W946" s="35"/>
      <c r="X946" s="35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5"/>
      <c r="V947" s="35"/>
      <c r="W947" s="35"/>
      <c r="X947" s="35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5"/>
      <c r="V948" s="35"/>
      <c r="W948" s="35"/>
      <c r="X948" s="35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5"/>
      <c r="V949" s="35"/>
      <c r="W949" s="35"/>
      <c r="X949" s="35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5"/>
      <c r="V950" s="35"/>
      <c r="W950" s="35"/>
      <c r="X950" s="35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5"/>
      <c r="V951" s="35"/>
      <c r="W951" s="35"/>
      <c r="X951" s="35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5"/>
      <c r="V952" s="35"/>
      <c r="W952" s="35"/>
      <c r="X952" s="35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5"/>
      <c r="V953" s="35"/>
      <c r="W953" s="35"/>
      <c r="X953" s="35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5"/>
      <c r="V954" s="35"/>
      <c r="W954" s="35"/>
      <c r="X954" s="35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5"/>
      <c r="V955" s="35"/>
      <c r="W955" s="35"/>
      <c r="X955" s="35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5"/>
      <c r="V956" s="35"/>
      <c r="W956" s="35"/>
      <c r="X956" s="35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5"/>
      <c r="V957" s="35"/>
      <c r="W957" s="35"/>
      <c r="X957" s="35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5"/>
      <c r="V958" s="35"/>
      <c r="W958" s="35"/>
      <c r="X958" s="35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5"/>
      <c r="V959" s="35"/>
      <c r="W959" s="35"/>
      <c r="X959" s="35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5"/>
      <c r="V960" s="35"/>
      <c r="W960" s="35"/>
      <c r="X960" s="35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5"/>
      <c r="V961" s="35"/>
      <c r="W961" s="35"/>
      <c r="X961" s="35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5"/>
      <c r="V962" s="35"/>
      <c r="W962" s="35"/>
      <c r="X962" s="35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5"/>
      <c r="V963" s="35"/>
      <c r="W963" s="35"/>
      <c r="X963" s="35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5"/>
      <c r="V964" s="35"/>
      <c r="W964" s="35"/>
      <c r="X964" s="35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5"/>
      <c r="V965" s="35"/>
      <c r="W965" s="35"/>
      <c r="X965" s="35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5"/>
      <c r="V966" s="35"/>
      <c r="W966" s="35"/>
      <c r="X966" s="35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5"/>
      <c r="V967" s="35"/>
      <c r="W967" s="35"/>
      <c r="X967" s="35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5"/>
      <c r="V968" s="35"/>
      <c r="W968" s="35"/>
      <c r="X968" s="35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5"/>
      <c r="V969" s="35"/>
      <c r="W969" s="35"/>
      <c r="X969" s="35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5"/>
      <c r="V970" s="35"/>
      <c r="W970" s="35"/>
      <c r="X970" s="35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5"/>
      <c r="V971" s="35"/>
      <c r="W971" s="35"/>
      <c r="X971" s="35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5"/>
      <c r="V972" s="35"/>
      <c r="W972" s="35"/>
      <c r="X972" s="35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5"/>
      <c r="V973" s="35"/>
      <c r="W973" s="35"/>
      <c r="X973" s="35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5"/>
      <c r="V974" s="35"/>
      <c r="W974" s="35"/>
      <c r="X974" s="35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5"/>
      <c r="V975" s="35"/>
      <c r="W975" s="35"/>
      <c r="X975" s="35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5"/>
      <c r="V976" s="35"/>
      <c r="W976" s="35"/>
      <c r="X976" s="35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5"/>
      <c r="V977" s="35"/>
      <c r="W977" s="35"/>
      <c r="X977" s="35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5"/>
      <c r="V978" s="35"/>
      <c r="W978" s="35"/>
      <c r="X978" s="35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5"/>
      <c r="V979" s="35"/>
      <c r="W979" s="35"/>
      <c r="X979" s="35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5"/>
      <c r="V980" s="35"/>
      <c r="W980" s="35"/>
      <c r="X980" s="35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5"/>
      <c r="V981" s="35"/>
      <c r="W981" s="35"/>
      <c r="X981" s="35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5"/>
      <c r="V982" s="35"/>
      <c r="W982" s="35"/>
      <c r="X982" s="35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5"/>
      <c r="V983" s="35"/>
      <c r="W983" s="35"/>
      <c r="X983" s="35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5"/>
      <c r="V984" s="35"/>
      <c r="W984" s="35"/>
      <c r="X984" s="35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5"/>
      <c r="V985" s="35"/>
      <c r="W985" s="35"/>
      <c r="X985" s="35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5"/>
      <c r="V986" s="35"/>
      <c r="W986" s="35"/>
      <c r="X986" s="35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5"/>
      <c r="V987" s="35"/>
      <c r="W987" s="35"/>
      <c r="X987" s="35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5"/>
      <c r="V988" s="35"/>
      <c r="W988" s="35"/>
      <c r="X988" s="35"/>
    </row>
  </sheetData>
  <mergeCells count="1">
    <mergeCell ref="D1:H1"/>
  </mergeCells>
  <drawing r:id="rId1"/>
</worksheet>
</file>